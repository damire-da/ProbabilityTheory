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3D4AA77D-89F5-475C-A58F-9B64ADF1A8F9}" xr6:coauthVersionLast="38" xr6:coauthVersionMax="38" xr10:uidLastSave="{00000000-0000-0000-0000-000000000000}"/>
  <bookViews>
    <workbookView xWindow="0" yWindow="0" windowWidth="22260" windowHeight="12645" activeTab="3" xr2:uid="{00000000-000D-0000-FFFF-FFFF00000000}"/>
  </bookViews>
  <sheets>
    <sheet name="Диаграмма2" sheetId="3" r:id="rId1"/>
    <sheet name="Диаграмма1" sheetId="2" r:id="rId2"/>
    <sheet name="Диаграмма3" sheetId="4" r:id="rId3"/>
    <sheet name="Лист1" sheetId="1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/>
  <c r="S2" i="1"/>
  <c r="T2" i="1" s="1"/>
  <c r="R2" i="1"/>
  <c r="Q2" i="1" l="1"/>
  <c r="P2" i="1" s="1"/>
  <c r="T3" i="1" s="1"/>
  <c r="T4" i="1" l="1"/>
  <c r="T5" i="1" s="1"/>
  <c r="T6" i="1" s="1"/>
  <c r="T7" i="1" s="1"/>
  <c r="C2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  <c r="G2" i="1" l="1"/>
  <c r="J2" i="1" s="1"/>
  <c r="U2" i="1" a="1"/>
  <c r="U2" i="1" s="1"/>
  <c r="W2" i="1" s="1"/>
  <c r="X2" i="1" s="1"/>
  <c r="F2" i="1"/>
  <c r="E2" i="1" l="1"/>
  <c r="D2" i="1" s="1"/>
  <c r="J3" i="1" s="1"/>
  <c r="J4" i="1" s="1"/>
  <c r="J5" i="1" s="1"/>
  <c r="J6" i="1" s="1"/>
  <c r="J7" i="1" s="1"/>
  <c r="J8" i="1" s="1"/>
  <c r="U5" i="1"/>
  <c r="W5" i="1" s="1"/>
  <c r="U3" i="1"/>
  <c r="W3" i="1" s="1"/>
  <c r="X3" i="1" s="1"/>
  <c r="U4" i="1"/>
  <c r="W4" i="1" s="1"/>
  <c r="U6" i="1"/>
  <c r="W6" i="1" s="1"/>
  <c r="U7" i="1"/>
  <c r="W7" i="1" s="1"/>
  <c r="X4" i="1" l="1"/>
  <c r="X5" i="1" s="1"/>
  <c r="X6" i="1" s="1"/>
  <c r="X7" i="1" s="1"/>
  <c r="I2" i="1" a="1"/>
  <c r="I4" i="1" s="1"/>
  <c r="I2" i="1" l="1"/>
  <c r="I3" i="1"/>
  <c r="I5" i="1"/>
  <c r="I7" i="1"/>
  <c r="I8" i="1"/>
  <c r="I6" i="1"/>
</calcChain>
</file>

<file path=xl/sharedStrings.xml><?xml version="1.0" encoding="utf-8"?>
<sst xmlns="http://schemas.openxmlformats.org/spreadsheetml/2006/main" count="71" uniqueCount="11">
  <si>
    <t>A</t>
  </si>
  <si>
    <t>Б</t>
  </si>
  <si>
    <t>Max</t>
  </si>
  <si>
    <t>Min</t>
  </si>
  <si>
    <t>Размах</t>
  </si>
  <si>
    <t>k</t>
  </si>
  <si>
    <t>h</t>
  </si>
  <si>
    <t>Частота</t>
  </si>
  <si>
    <t>Интервал</t>
  </si>
  <si>
    <t>wi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</si>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</sst>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061008"/>
        <c:axId val="454061664"/>
      </c:barChart>
      <c:catAx>
        <c:axId val="454061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4061664"/>
        <c:crosses val="autoZero"/>
        <c:auto val="1"/>
        <c:lblAlgn val="ctr"/>
        <c:lblOffset val="100"/>
        <c:noMultiLvlLbl val="0"/>
      </c:catAx>
      <c:valAx>
        <c:axId val="45406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406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561024"/>
        <c:axId val="447558728"/>
      </c:barChart>
      <c:catAx>
        <c:axId val="447561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7558728"/>
        <c:crosses val="autoZero"/>
        <c:auto val="1"/>
        <c:lblAlgn val="ctr"/>
        <c:lblOffset val="100"/>
        <c:noMultiLvlLbl val="0"/>
      </c:catAx>
      <c:valAx>
        <c:axId val="44755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756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548888"/>
        <c:axId val="447549216"/>
      </c:barChart>
      <c:catAx>
        <c:axId val="447548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7549216"/>
        <c:crosses val="autoZero"/>
        <c:auto val="1"/>
        <c:lblAlgn val="ctr"/>
        <c:lblOffset val="100"/>
        <c:noMultiLvlLbl val="0"/>
      </c:catAx>
      <c:valAx>
        <c:axId val="44754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7548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Кумулята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Лист1!$T$2:$T$7</c:f>
              <c:numCache>
                <c:formatCode>0.00</c:formatCode>
                <c:ptCount val="6"/>
                <c:pt idx="0" formatCode="General">
                  <c:v>26.42</c:v>
                </c:pt>
                <c:pt idx="1">
                  <c:v>26.670287581250282</c:v>
                </c:pt>
                <c:pt idx="2">
                  <c:v>26.920575162500562</c:v>
                </c:pt>
                <c:pt idx="3">
                  <c:v>27.170862743750842</c:v>
                </c:pt>
                <c:pt idx="4">
                  <c:v>27.421150325001122</c:v>
                </c:pt>
                <c:pt idx="5">
                  <c:v>27.671437906251402</c:v>
                </c:pt>
              </c:numCache>
            </c:numRef>
          </c:xVal>
          <c:yVal>
            <c:numRef>
              <c:f>Лист1!$X$2:$X$7</c:f>
              <c:numCache>
                <c:formatCode>General</c:formatCode>
                <c:ptCount val="6"/>
                <c:pt idx="0">
                  <c:v>0.05</c:v>
                </c:pt>
                <c:pt idx="1">
                  <c:v>0.25</c:v>
                </c:pt>
                <c:pt idx="2">
                  <c:v>0.55000000000000004</c:v>
                </c:pt>
                <c:pt idx="3">
                  <c:v>0.9</c:v>
                </c:pt>
                <c:pt idx="4">
                  <c:v>0.95000000000000007</c:v>
                </c:pt>
                <c:pt idx="5">
                  <c:v>0.95000000000000007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54-4596-9823-4AA456A87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950368"/>
        <c:axId val="456951024"/>
      </c:scatterChart>
      <c:valAx>
        <c:axId val="45695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6951024"/>
        <c:crosses val="autoZero"/>
        <c:crossBetween val="midCat"/>
      </c:valAx>
      <c:valAx>
        <c:axId val="45695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6950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36482939632549E-2"/>
          <c:y val="5.0925925925925923E-2"/>
          <c:w val="0.90286351706036749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Лист1!$J$2:$J$8</c:f>
              <c:numCache>
                <c:formatCode>0.00</c:formatCode>
                <c:ptCount val="7"/>
                <c:pt idx="0" formatCode="General">
                  <c:v>25.560000000000002</c:v>
                </c:pt>
                <c:pt idx="1">
                  <c:v>25.88676443730234</c:v>
                </c:pt>
                <c:pt idx="2">
                  <c:v>26.213528874604677</c:v>
                </c:pt>
                <c:pt idx="3">
                  <c:v>26.540293311907014</c:v>
                </c:pt>
                <c:pt idx="4">
                  <c:v>26.867057749209351</c:v>
                </c:pt>
                <c:pt idx="5">
                  <c:v>27.193822186511689</c:v>
                </c:pt>
                <c:pt idx="6">
                  <c:v>27.520586623814026</c:v>
                </c:pt>
              </c:numCache>
            </c:numRef>
          </c:cat>
          <c:val>
            <c:numRef>
              <c:f>Лист1!$I$2:$I$8</c:f>
              <c:numCache>
                <c:formatCode>General</c:formatCode>
                <c:ptCount val="7"/>
                <c:pt idx="0">
                  <c:v>1</c:v>
                </c:pt>
                <c:pt idx="1">
                  <c:v>9</c:v>
                </c:pt>
                <c:pt idx="2">
                  <c:v>17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2-443E-B66A-DBAB0512C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54071176"/>
        <c:axId val="454070520"/>
      </c:barChart>
      <c:lineChart>
        <c:grouping val="standard"/>
        <c:varyColors val="0"/>
        <c:ser>
          <c:idx val="1"/>
          <c:order val="1"/>
          <c:tx>
            <c:v>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Лист1!$I$2:$I$8</c:f>
              <c:numCache>
                <c:formatCode>General</c:formatCode>
                <c:ptCount val="7"/>
                <c:pt idx="0">
                  <c:v>1</c:v>
                </c:pt>
                <c:pt idx="1">
                  <c:v>9</c:v>
                </c:pt>
                <c:pt idx="2">
                  <c:v>17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42-443E-B66A-DBAB0512C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4071176"/>
        <c:axId val="454070520"/>
      </c:lineChart>
      <c:catAx>
        <c:axId val="454071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4070520"/>
        <c:crosses val="autoZero"/>
        <c:auto val="1"/>
        <c:lblAlgn val="ctr"/>
        <c:lblOffset val="100"/>
        <c:noMultiLvlLbl val="0"/>
      </c:catAx>
      <c:valAx>
        <c:axId val="45407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4071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36482939632549E-2"/>
          <c:y val="5.0925925925925923E-2"/>
          <c:w val="0.90286351706036749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Лист1!$J$2:$J$8</c:f>
              <c:numCache>
                <c:formatCode>0.00</c:formatCode>
                <c:ptCount val="7"/>
                <c:pt idx="0" formatCode="General">
                  <c:v>25.560000000000002</c:v>
                </c:pt>
                <c:pt idx="1">
                  <c:v>25.88676443730234</c:v>
                </c:pt>
                <c:pt idx="2">
                  <c:v>26.213528874604677</c:v>
                </c:pt>
                <c:pt idx="3">
                  <c:v>26.540293311907014</c:v>
                </c:pt>
                <c:pt idx="4">
                  <c:v>26.867057749209351</c:v>
                </c:pt>
                <c:pt idx="5">
                  <c:v>27.193822186511689</c:v>
                </c:pt>
                <c:pt idx="6">
                  <c:v>27.520586623814026</c:v>
                </c:pt>
              </c:numCache>
            </c:numRef>
          </c:cat>
          <c:val>
            <c:numRef>
              <c:f>Лист1!$I$2:$I$8</c:f>
              <c:numCache>
                <c:formatCode>General</c:formatCode>
                <c:ptCount val="7"/>
                <c:pt idx="0">
                  <c:v>1</c:v>
                </c:pt>
                <c:pt idx="1">
                  <c:v>9</c:v>
                </c:pt>
                <c:pt idx="2">
                  <c:v>17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9-4CA7-A6BC-F7939C0B5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54071176"/>
        <c:axId val="454070520"/>
      </c:barChart>
      <c:catAx>
        <c:axId val="454071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4070520"/>
        <c:crosses val="autoZero"/>
        <c:auto val="1"/>
        <c:lblAlgn val="ctr"/>
        <c:lblOffset val="100"/>
        <c:noMultiLvlLbl val="0"/>
      </c:catAx>
      <c:valAx>
        <c:axId val="45407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4071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025371828521436E-2"/>
          <c:y val="7.407407407407407E-2"/>
          <c:w val="0.9155301837270341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Лист1!$T$2:$T$7</c:f>
              <c:numCache>
                <c:formatCode>0.00</c:formatCode>
                <c:ptCount val="6"/>
                <c:pt idx="0" formatCode="General">
                  <c:v>26.42</c:v>
                </c:pt>
                <c:pt idx="1">
                  <c:v>26.670287581250282</c:v>
                </c:pt>
                <c:pt idx="2">
                  <c:v>26.920575162500562</c:v>
                </c:pt>
                <c:pt idx="3">
                  <c:v>27.170862743750842</c:v>
                </c:pt>
                <c:pt idx="4">
                  <c:v>27.421150325001122</c:v>
                </c:pt>
                <c:pt idx="5">
                  <c:v>27.671437906251402</c:v>
                </c:pt>
              </c:numCache>
            </c:numRef>
          </c:cat>
          <c:val>
            <c:numRef>
              <c:f>Лист1!$U$2:$U$7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6-496F-BAC3-984E9A8EC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2354832"/>
        <c:axId val="592356472"/>
      </c:barChart>
      <c:catAx>
        <c:axId val="59235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356472"/>
        <c:crosses val="autoZero"/>
        <c:auto val="1"/>
        <c:lblAlgn val="ctr"/>
        <c:lblOffset val="100"/>
        <c:noMultiLvlLbl val="0"/>
      </c:catAx>
      <c:valAx>
        <c:axId val="59235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35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Лист1!$J$2:$J$8</c:f>
              <c:numCache>
                <c:formatCode>0.00</c:formatCode>
                <c:ptCount val="7"/>
                <c:pt idx="0" formatCode="General">
                  <c:v>25.560000000000002</c:v>
                </c:pt>
                <c:pt idx="1">
                  <c:v>25.88676443730234</c:v>
                </c:pt>
                <c:pt idx="2">
                  <c:v>26.213528874604677</c:v>
                </c:pt>
                <c:pt idx="3">
                  <c:v>26.540293311907014</c:v>
                </c:pt>
                <c:pt idx="4">
                  <c:v>26.867057749209351</c:v>
                </c:pt>
                <c:pt idx="5">
                  <c:v>27.193822186511689</c:v>
                </c:pt>
                <c:pt idx="6">
                  <c:v>27.520586623814026</c:v>
                </c:pt>
              </c:numCache>
            </c:numRef>
          </c:cat>
          <c:val>
            <c:numRef>
              <c:f>Лист1!$K$2:$K$8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15</c:v>
                </c:pt>
                <c:pt idx="3">
                  <c:v>7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2-4A34-B205-6354530A9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2355488"/>
        <c:axId val="592356144"/>
      </c:barChart>
      <c:catAx>
        <c:axId val="59235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356144"/>
        <c:crosses val="autoZero"/>
        <c:auto val="1"/>
        <c:lblAlgn val="ctr"/>
        <c:lblOffset val="100"/>
        <c:noMultiLvlLbl val="0"/>
      </c:catAx>
      <c:valAx>
        <c:axId val="59235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35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F0CB732-AD50-4F76-8F28-C498D81E17A1}">
  <sheetPr/>
  <sheetViews>
    <sheetView zoomScale="12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B1EA902-B2E3-467D-AAB7-0FF9A7B86AC2}">
  <sheetPr/>
  <sheetViews>
    <sheetView zoomScale="120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E9B0F19-1E83-458A-94EB-6DDE061F12D8}">
  <sheetPr/>
  <sheetViews>
    <sheetView zoomScale="12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86F2B50-4720-4C87-B354-86FBCC6618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93B1829-1680-450D-BEFE-A3696F0D1E8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AD39B13-2030-4C89-869B-D3BC25885A1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514350</xdr:colOff>
      <xdr:row>27</xdr:row>
      <xdr:rowOff>109537</xdr:rowOff>
    </xdr:from>
    <xdr:to>
      <xdr:col>26</xdr:col>
      <xdr:colOff>209550</xdr:colOff>
      <xdr:row>41</xdr:row>
      <xdr:rowOff>185737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CA709A2-D483-4227-8A11-952ACC6D1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447675</xdr:colOff>
      <xdr:row>25</xdr:row>
      <xdr:rowOff>176212</xdr:rowOff>
    </xdr:from>
    <xdr:to>
      <xdr:col>18</xdr:col>
      <xdr:colOff>142875</xdr:colOff>
      <xdr:row>40</xdr:row>
      <xdr:rowOff>61912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731B11E-B4B7-48AC-A835-45119E281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238125</xdr:colOff>
      <xdr:row>23</xdr:row>
      <xdr:rowOff>95250</xdr:rowOff>
    </xdr:from>
    <xdr:to>
      <xdr:col>9</xdr:col>
      <xdr:colOff>533400</xdr:colOff>
      <xdr:row>37</xdr:row>
      <xdr:rowOff>171450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8067FE32-0192-4ECF-B05D-47C0563A9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371475</xdr:colOff>
      <xdr:row>13</xdr:row>
      <xdr:rowOff>52387</xdr:rowOff>
    </xdr:from>
    <xdr:to>
      <xdr:col>26</xdr:col>
      <xdr:colOff>66675</xdr:colOff>
      <xdr:row>27</xdr:row>
      <xdr:rowOff>128587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524A154F-D75E-41C1-9605-7CFC711DB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219075</xdr:colOff>
      <xdr:row>11</xdr:row>
      <xdr:rowOff>147637</xdr:rowOff>
    </xdr:from>
    <xdr:to>
      <xdr:col>15</xdr:col>
      <xdr:colOff>523875</xdr:colOff>
      <xdr:row>26</xdr:row>
      <xdr:rowOff>33337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A6E528EE-3D74-4C3F-9736-416CF0179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5"/>
  <sheetViews>
    <sheetView tabSelected="1" zoomScaleNormal="100" workbookViewId="0">
      <selection activeCell="P8" sqref="P8"/>
    </sheetView>
  </sheetViews>
  <sheetFormatPr defaultRowHeight="15" x14ac:dyDescent="0.25"/>
  <cols>
    <col min="5" max="5" width="9.28515625" customWidth="1"/>
  </cols>
  <sheetData>
    <row r="1" spans="1:24" x14ac:dyDescent="0.25">
      <c r="A1" s="1">
        <f>9.94+16</f>
        <v>25.939999999999998</v>
      </c>
      <c r="B1" s="1" t="s">
        <v>0</v>
      </c>
      <c r="C1" s="1" t="s">
        <v>5</v>
      </c>
      <c r="D1" s="1" t="s">
        <v>6</v>
      </c>
      <c r="E1" s="1" t="s">
        <v>4</v>
      </c>
      <c r="F1" s="1" t="s">
        <v>2</v>
      </c>
      <c r="G1" s="1" t="s">
        <v>3</v>
      </c>
      <c r="H1" s="1" t="s">
        <v>8</v>
      </c>
      <c r="I1" s="1" t="s">
        <v>7</v>
      </c>
      <c r="O1" s="1" t="s">
        <v>5</v>
      </c>
      <c r="P1" s="1" t="s">
        <v>6</v>
      </c>
      <c r="Q1" s="1" t="s">
        <v>4</v>
      </c>
      <c r="R1" s="1" t="s">
        <v>2</v>
      </c>
      <c r="S1" s="1" t="s">
        <v>3</v>
      </c>
      <c r="T1" s="1" t="s">
        <v>8</v>
      </c>
      <c r="U1" s="1" t="s">
        <v>7</v>
      </c>
      <c r="W1" s="1" t="s">
        <v>9</v>
      </c>
      <c r="X1" s="1" t="s">
        <v>10</v>
      </c>
    </row>
    <row r="2" spans="1:24" x14ac:dyDescent="0.25">
      <c r="A2" s="1">
        <f>9.74+16</f>
        <v>25.740000000000002</v>
      </c>
      <c r="B2" s="1" t="s">
        <v>0</v>
      </c>
      <c r="C2" s="2">
        <f>1+1.4*LN(55)</f>
        <v>6.6102664593254596</v>
      </c>
      <c r="D2" s="2">
        <f>$E$2/$C$2</f>
        <v>0.32676443730233717</v>
      </c>
      <c r="E2" s="1">
        <f>F2-G2</f>
        <v>2.1599999999999966</v>
      </c>
      <c r="F2" s="1">
        <f>MAX(A1:A55)</f>
        <v>27.72</v>
      </c>
      <c r="G2" s="1">
        <f>MIN(A1:A55)</f>
        <v>25.560000000000002</v>
      </c>
      <c r="I2" s="1">
        <f t="array" ref="I2:I8">FREQUENCY(A1:A35,J2:J8)</f>
        <v>1</v>
      </c>
      <c r="J2" s="1">
        <f>G2</f>
        <v>25.560000000000002</v>
      </c>
      <c r="K2">
        <v>1</v>
      </c>
      <c r="O2" s="2">
        <f>1+1.4*LN(20)</f>
        <v>5.1940251829755866</v>
      </c>
      <c r="P2" s="2">
        <f>$Q$2/$O$2</f>
        <v>0.25028758125027895</v>
      </c>
      <c r="Q2" s="1">
        <f>R2-S2</f>
        <v>1.2999999999999972</v>
      </c>
      <c r="R2" s="1">
        <f>MAX(A36:A55)</f>
        <v>27.72</v>
      </c>
      <c r="S2" s="1">
        <f>MIN(A36:A55)</f>
        <v>26.42</v>
      </c>
      <c r="T2" s="1">
        <f>S2</f>
        <v>26.42</v>
      </c>
      <c r="U2" s="1">
        <f t="array" ref="U2:U7">FREQUENCY(A36:A55,T2:T7)</f>
        <v>1</v>
      </c>
      <c r="W2">
        <f>U2/20</f>
        <v>0.05</v>
      </c>
      <c r="X2">
        <f>W2</f>
        <v>0.05</v>
      </c>
    </row>
    <row r="3" spans="1:24" x14ac:dyDescent="0.25">
      <c r="A3" s="1">
        <f>10.05+16</f>
        <v>26.05</v>
      </c>
      <c r="B3" s="1" t="s">
        <v>0</v>
      </c>
      <c r="C3" s="1"/>
      <c r="D3" s="1"/>
      <c r="E3" s="1"/>
      <c r="F3" s="1"/>
      <c r="G3" s="1"/>
      <c r="I3" s="1">
        <v>9</v>
      </c>
      <c r="J3" s="2">
        <f>J2+$D$2</f>
        <v>25.88676443730234</v>
      </c>
      <c r="K3">
        <v>6</v>
      </c>
      <c r="O3" s="1"/>
      <c r="P3" s="1"/>
      <c r="Q3" s="1"/>
      <c r="R3" s="1"/>
      <c r="S3" s="1"/>
      <c r="T3" s="2">
        <f>T2+$P$2</f>
        <v>26.670287581250282</v>
      </c>
      <c r="U3" s="1">
        <v>4</v>
      </c>
      <c r="W3">
        <f t="shared" ref="W3:W7" si="0">U3/20</f>
        <v>0.2</v>
      </c>
      <c r="X3">
        <f>X2+W3</f>
        <v>0.25</v>
      </c>
    </row>
    <row r="4" spans="1:24" x14ac:dyDescent="0.25">
      <c r="A4" s="1">
        <f>10.12+16</f>
        <v>26.119999999999997</v>
      </c>
      <c r="B4" s="1" t="s">
        <v>0</v>
      </c>
      <c r="C4" s="1"/>
      <c r="D4" s="1"/>
      <c r="E4" s="1"/>
      <c r="F4" s="1"/>
      <c r="G4" s="1"/>
      <c r="I4" s="1">
        <v>17</v>
      </c>
      <c r="J4" s="2">
        <f>J3+$D$2</f>
        <v>26.213528874604677</v>
      </c>
      <c r="K4">
        <v>15</v>
      </c>
      <c r="O4" s="1"/>
      <c r="P4" s="1"/>
      <c r="Q4" s="1"/>
      <c r="R4" s="1"/>
      <c r="S4" s="1"/>
      <c r="T4" s="2">
        <f>T3+$P$2</f>
        <v>26.920575162500562</v>
      </c>
      <c r="U4" s="1">
        <v>6</v>
      </c>
      <c r="W4">
        <f t="shared" si="0"/>
        <v>0.3</v>
      </c>
      <c r="X4">
        <f t="shared" ref="X4:X7" si="1">X3+W4</f>
        <v>0.55000000000000004</v>
      </c>
    </row>
    <row r="5" spans="1:24" x14ac:dyDescent="0.25">
      <c r="A5" s="1">
        <f>10.1+16</f>
        <v>26.1</v>
      </c>
      <c r="B5" s="1" t="s">
        <v>0</v>
      </c>
      <c r="C5" s="1"/>
      <c r="D5" s="1"/>
      <c r="E5" s="1"/>
      <c r="F5" s="1"/>
      <c r="G5" s="1"/>
      <c r="I5" s="1">
        <v>4</v>
      </c>
      <c r="J5" s="2">
        <f>J4+$D$2</f>
        <v>26.540293311907014</v>
      </c>
      <c r="K5">
        <v>7</v>
      </c>
      <c r="O5" s="1"/>
      <c r="P5" s="1"/>
      <c r="Q5" s="1"/>
      <c r="R5" s="1"/>
      <c r="S5" s="1"/>
      <c r="T5" s="2">
        <f>T4+$P$2</f>
        <v>27.170862743750842</v>
      </c>
      <c r="U5" s="1">
        <v>7</v>
      </c>
      <c r="W5">
        <f t="shared" si="0"/>
        <v>0.35</v>
      </c>
      <c r="X5">
        <f t="shared" si="1"/>
        <v>0.9</v>
      </c>
    </row>
    <row r="6" spans="1:24" x14ac:dyDescent="0.25">
      <c r="A6" s="1">
        <f>10.1+16</f>
        <v>26.1</v>
      </c>
      <c r="B6" s="1" t="s">
        <v>0</v>
      </c>
      <c r="C6" s="1"/>
      <c r="D6" s="1"/>
      <c r="E6" s="1"/>
      <c r="F6" s="1"/>
      <c r="G6" s="1"/>
      <c r="I6" s="1">
        <v>1</v>
      </c>
      <c r="J6" s="2">
        <f>J5+$D$2</f>
        <v>26.867057749209351</v>
      </c>
      <c r="K6">
        <v>2</v>
      </c>
      <c r="O6" s="1"/>
      <c r="P6" s="1"/>
      <c r="Q6" s="1"/>
      <c r="R6" s="1"/>
      <c r="S6" s="1"/>
      <c r="T6" s="2">
        <f>T5+$P$2</f>
        <v>27.421150325001122</v>
      </c>
      <c r="U6" s="1">
        <v>1</v>
      </c>
      <c r="W6">
        <f t="shared" si="0"/>
        <v>0.05</v>
      </c>
      <c r="X6">
        <f t="shared" si="1"/>
        <v>0.95000000000000007</v>
      </c>
    </row>
    <row r="7" spans="1:24" x14ac:dyDescent="0.25">
      <c r="A7" s="1">
        <f>9.56+16</f>
        <v>25.560000000000002</v>
      </c>
      <c r="B7" s="1" t="s">
        <v>0</v>
      </c>
      <c r="C7" s="1"/>
      <c r="E7" s="1"/>
      <c r="F7" s="1"/>
      <c r="G7" s="1"/>
      <c r="I7" s="1">
        <v>2</v>
      </c>
      <c r="J7" s="2">
        <f>J6+$D$2</f>
        <v>27.193822186511689</v>
      </c>
      <c r="K7">
        <v>1</v>
      </c>
      <c r="O7" s="1"/>
      <c r="P7" s="1"/>
      <c r="Q7" s="1"/>
      <c r="R7" s="1"/>
      <c r="S7" s="1"/>
      <c r="T7" s="2">
        <f>T6+$P$2</f>
        <v>27.671437906251402</v>
      </c>
      <c r="U7" s="1">
        <v>0</v>
      </c>
      <c r="W7">
        <f t="shared" si="0"/>
        <v>0</v>
      </c>
      <c r="X7">
        <f t="shared" si="1"/>
        <v>0.95000000000000007</v>
      </c>
    </row>
    <row r="8" spans="1:24" x14ac:dyDescent="0.25">
      <c r="A8" s="1">
        <f>9.95+16</f>
        <v>25.95</v>
      </c>
      <c r="B8" s="1" t="s">
        <v>0</v>
      </c>
      <c r="I8" s="1">
        <v>1</v>
      </c>
      <c r="J8" s="2">
        <f>J7+$D$2</f>
        <v>27.520586623814026</v>
      </c>
      <c r="K8">
        <v>2</v>
      </c>
      <c r="U8" s="2"/>
      <c r="V8" s="1"/>
    </row>
    <row r="9" spans="1:24" x14ac:dyDescent="0.25">
      <c r="A9" s="1">
        <f>10.22 +16</f>
        <v>26.22</v>
      </c>
      <c r="B9" s="1" t="s">
        <v>0</v>
      </c>
    </row>
    <row r="10" spans="1:24" x14ac:dyDescent="0.25">
      <c r="A10" s="1">
        <f>9.78 + 16</f>
        <v>25.78</v>
      </c>
      <c r="B10" s="1" t="s">
        <v>0</v>
      </c>
    </row>
    <row r="11" spans="1:24" x14ac:dyDescent="0.25">
      <c r="A11" s="1">
        <f>9.86+16</f>
        <v>25.86</v>
      </c>
      <c r="B11" s="1" t="s">
        <v>0</v>
      </c>
    </row>
    <row r="12" spans="1:24" x14ac:dyDescent="0.25">
      <c r="A12" s="1">
        <f>9.66+16</f>
        <v>25.66</v>
      </c>
      <c r="B12" s="1" t="s">
        <v>0</v>
      </c>
    </row>
    <row r="13" spans="1:24" x14ac:dyDescent="0.25">
      <c r="A13" s="1">
        <f>9.63+16</f>
        <v>25.630000000000003</v>
      </c>
      <c r="B13" s="1" t="s">
        <v>0</v>
      </c>
    </row>
    <row r="14" spans="1:24" x14ac:dyDescent="0.25">
      <c r="A14" s="1">
        <f>9.8+16</f>
        <v>25.8</v>
      </c>
      <c r="B14" s="1" t="s">
        <v>0</v>
      </c>
    </row>
    <row r="15" spans="1:24" x14ac:dyDescent="0.25">
      <c r="A15" s="1">
        <f>9.85+16</f>
        <v>25.85</v>
      </c>
      <c r="B15" s="1" t="s">
        <v>0</v>
      </c>
    </row>
    <row r="16" spans="1:24" x14ac:dyDescent="0.25">
      <c r="A16" s="1">
        <f>9.58+16</f>
        <v>25.58</v>
      </c>
      <c r="B16" s="1" t="s">
        <v>0</v>
      </c>
    </row>
    <row r="17" spans="1:2" x14ac:dyDescent="0.25">
      <c r="A17" s="1">
        <v>25.89</v>
      </c>
      <c r="B17" s="1" t="s">
        <v>0</v>
      </c>
    </row>
    <row r="18" spans="1:2" x14ac:dyDescent="0.25">
      <c r="A18" s="1">
        <v>25.92</v>
      </c>
      <c r="B18" s="1" t="s">
        <v>0</v>
      </c>
    </row>
    <row r="19" spans="1:2" x14ac:dyDescent="0.25">
      <c r="A19" s="1">
        <v>26.03</v>
      </c>
      <c r="B19" s="1" t="s">
        <v>0</v>
      </c>
    </row>
    <row r="20" spans="1:2" x14ac:dyDescent="0.25">
      <c r="A20" s="1">
        <v>25.93</v>
      </c>
      <c r="B20" s="1" t="s">
        <v>0</v>
      </c>
    </row>
    <row r="21" spans="1:2" x14ac:dyDescent="0.25">
      <c r="A21" s="1">
        <v>25.93</v>
      </c>
      <c r="B21" s="1" t="s">
        <v>0</v>
      </c>
    </row>
    <row r="22" spans="1:2" x14ac:dyDescent="0.25">
      <c r="A22" s="1">
        <v>25.93</v>
      </c>
      <c r="B22" s="1" t="s">
        <v>0</v>
      </c>
    </row>
    <row r="23" spans="1:2" x14ac:dyDescent="0.25">
      <c r="A23" s="1">
        <v>26.21</v>
      </c>
      <c r="B23" s="1" t="s">
        <v>0</v>
      </c>
    </row>
    <row r="24" spans="1:2" x14ac:dyDescent="0.25">
      <c r="A24" s="1">
        <v>25.98</v>
      </c>
      <c r="B24" s="1" t="s">
        <v>0</v>
      </c>
    </row>
    <row r="25" spans="1:2" x14ac:dyDescent="0.25">
      <c r="A25" s="1">
        <v>25.96</v>
      </c>
      <c r="B25" s="1" t="s">
        <v>0</v>
      </c>
    </row>
    <row r="26" spans="1:2" x14ac:dyDescent="0.25">
      <c r="A26" s="1">
        <v>25.9</v>
      </c>
      <c r="B26" s="1" t="s">
        <v>0</v>
      </c>
    </row>
    <row r="27" spans="1:2" x14ac:dyDescent="0.25">
      <c r="A27" s="1">
        <v>26.22</v>
      </c>
      <c r="B27" s="1" t="s">
        <v>0</v>
      </c>
    </row>
    <row r="28" spans="1:2" x14ac:dyDescent="0.25">
      <c r="A28" s="1">
        <v>26.17</v>
      </c>
      <c r="B28" s="1" t="s">
        <v>0</v>
      </c>
    </row>
    <row r="29" spans="1:2" x14ac:dyDescent="0.25">
      <c r="A29" s="1">
        <v>26.48</v>
      </c>
      <c r="B29" s="1" t="s">
        <v>0</v>
      </c>
    </row>
    <row r="30" spans="1:2" x14ac:dyDescent="0.25">
      <c r="A30" s="1">
        <v>25.87</v>
      </c>
      <c r="B30" s="1" t="s">
        <v>0</v>
      </c>
    </row>
    <row r="31" spans="1:2" x14ac:dyDescent="0.25">
      <c r="A31" s="1">
        <v>26.84</v>
      </c>
      <c r="B31" s="1" t="s">
        <v>0</v>
      </c>
    </row>
    <row r="32" spans="1:2" x14ac:dyDescent="0.25">
      <c r="A32" s="1">
        <v>26.93</v>
      </c>
      <c r="B32" s="1" t="s">
        <v>0</v>
      </c>
    </row>
    <row r="33" spans="1:2" x14ac:dyDescent="0.25">
      <c r="A33" s="1">
        <v>27.13</v>
      </c>
      <c r="B33" s="1" t="s">
        <v>0</v>
      </c>
    </row>
    <row r="34" spans="1:2" x14ac:dyDescent="0.25">
      <c r="A34" s="1">
        <v>26.5</v>
      </c>
      <c r="B34" s="1" t="s">
        <v>0</v>
      </c>
    </row>
    <row r="35" spans="1:2" x14ac:dyDescent="0.25">
      <c r="A35" s="1">
        <v>27.34</v>
      </c>
      <c r="B35" s="1" t="s">
        <v>0</v>
      </c>
    </row>
    <row r="36" spans="1:2" x14ac:dyDescent="0.25">
      <c r="A36" s="1">
        <v>27.04</v>
      </c>
      <c r="B36" s="1" t="s">
        <v>1</v>
      </c>
    </row>
    <row r="37" spans="1:2" x14ac:dyDescent="0.25">
      <c r="A37" s="1">
        <v>26.89</v>
      </c>
      <c r="B37" s="1" t="s">
        <v>1</v>
      </c>
    </row>
    <row r="38" spans="1:2" x14ac:dyDescent="0.25">
      <c r="A38" s="1">
        <v>27.72</v>
      </c>
      <c r="B38" s="1" t="s">
        <v>1</v>
      </c>
    </row>
    <row r="39" spans="1:2" x14ac:dyDescent="0.25">
      <c r="A39" s="1">
        <v>26.76</v>
      </c>
      <c r="B39" s="1" t="s">
        <v>1</v>
      </c>
    </row>
    <row r="40" spans="1:2" x14ac:dyDescent="0.25">
      <c r="A40" s="1">
        <v>27.35</v>
      </c>
      <c r="B40" s="1" t="s">
        <v>1</v>
      </c>
    </row>
    <row r="41" spans="1:2" x14ac:dyDescent="0.25">
      <c r="A41" s="1">
        <v>27</v>
      </c>
      <c r="B41" s="1" t="s">
        <v>1</v>
      </c>
    </row>
    <row r="42" spans="1:2" x14ac:dyDescent="0.25">
      <c r="A42" s="1">
        <v>27</v>
      </c>
      <c r="B42" s="1" t="s">
        <v>1</v>
      </c>
    </row>
    <row r="43" spans="1:2" x14ac:dyDescent="0.25">
      <c r="A43" s="1">
        <v>26.63</v>
      </c>
      <c r="B43" s="1" t="s">
        <v>1</v>
      </c>
    </row>
    <row r="44" spans="1:2" x14ac:dyDescent="0.25">
      <c r="A44" s="1">
        <v>26.88</v>
      </c>
      <c r="B44" s="1" t="s">
        <v>1</v>
      </c>
    </row>
    <row r="45" spans="1:2" x14ac:dyDescent="0.25">
      <c r="A45" s="1">
        <v>26.92</v>
      </c>
      <c r="B45" s="1" t="s">
        <v>1</v>
      </c>
    </row>
    <row r="46" spans="1:2" x14ac:dyDescent="0.25">
      <c r="A46" s="1">
        <v>27.11</v>
      </c>
      <c r="B46" s="1" t="s">
        <v>1</v>
      </c>
    </row>
    <row r="47" spans="1:2" x14ac:dyDescent="0.25">
      <c r="A47" s="1">
        <v>26.76</v>
      </c>
      <c r="B47" s="1" t="s">
        <v>1</v>
      </c>
    </row>
    <row r="48" spans="1:2" x14ac:dyDescent="0.25">
      <c r="A48" s="1">
        <v>27.01</v>
      </c>
      <c r="B48" s="1" t="s">
        <v>1</v>
      </c>
    </row>
    <row r="49" spans="1:2" x14ac:dyDescent="0.25">
      <c r="A49" s="1">
        <v>26.84</v>
      </c>
      <c r="B49" s="1" t="s">
        <v>1</v>
      </c>
    </row>
    <row r="50" spans="1:2" x14ac:dyDescent="0.25">
      <c r="A50" s="1">
        <v>26.51</v>
      </c>
      <c r="B50" s="1" t="s">
        <v>1</v>
      </c>
    </row>
    <row r="51" spans="1:2" x14ac:dyDescent="0.25">
      <c r="A51" s="1">
        <v>26.42</v>
      </c>
      <c r="B51" s="1" t="s">
        <v>1</v>
      </c>
    </row>
    <row r="52" spans="1:2" x14ac:dyDescent="0.25">
      <c r="A52" s="1">
        <v>26.67</v>
      </c>
      <c r="B52" s="1" t="s">
        <v>1</v>
      </c>
    </row>
    <row r="53" spans="1:2" x14ac:dyDescent="0.25">
      <c r="A53" s="1">
        <v>26.98</v>
      </c>
      <c r="B53" s="1" t="s">
        <v>1</v>
      </c>
    </row>
    <row r="54" spans="1:2" x14ac:dyDescent="0.25">
      <c r="A54" s="1">
        <v>26.65</v>
      </c>
      <c r="B54" s="1" t="s">
        <v>1</v>
      </c>
    </row>
    <row r="55" spans="1:2" x14ac:dyDescent="0.25">
      <c r="A55" s="1">
        <v>27.07</v>
      </c>
      <c r="B55" s="1" t="s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3</vt:i4>
      </vt:variant>
    </vt:vector>
  </HeadingPairs>
  <TitlesOfParts>
    <vt:vector size="4" baseType="lpstr">
      <vt:lpstr>Лист1</vt:lpstr>
      <vt:lpstr>Диаграмма2</vt:lpstr>
      <vt:lpstr>Диаграмма1</vt:lpstr>
      <vt:lpstr>Диаграмма3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2021-12-17T11:07:52Z</dcterms:modified>
</cp:coreProperties>
</file>