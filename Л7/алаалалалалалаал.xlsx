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63A726FC-10C7-4C4E-8FBA-54A9625C4DE3}" xr6:coauthVersionLast="38" xr6:coauthVersionMax="38" xr10:uidLastSave="{00000000-0000-0000-0000-000000000000}"/>
  <bookViews>
    <workbookView xWindow="0" yWindow="0" windowWidth="22260" windowHeight="12645" activeTab="1" xr2:uid="{00000000-000D-0000-FFFF-FFFF00000000}"/>
  </bookViews>
  <sheets>
    <sheet name="Диаграмма1" sheetId="2" r:id="rId1"/>
    <sheet name="Лист1" sheetId="1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M5" i="1"/>
  <c r="M6" i="1"/>
  <c r="M3" i="1"/>
  <c r="M2" i="1"/>
  <c r="L7" i="1" l="1"/>
  <c r="L6" i="1"/>
  <c r="L5" i="1"/>
  <c r="L4" i="1"/>
  <c r="L3" i="1"/>
  <c r="L2" i="1"/>
  <c r="I4" i="1" l="1"/>
  <c r="I5" i="1"/>
  <c r="I6" i="1"/>
  <c r="I7" i="1"/>
  <c r="I3" i="1"/>
  <c r="G2" i="1"/>
  <c r="F2" i="1"/>
  <c r="C2" i="1"/>
  <c r="U2" i="1"/>
  <c r="S2" i="1" s="1"/>
  <c r="R2" i="1" s="1"/>
  <c r="W3" i="1" s="1"/>
  <c r="T2" i="1"/>
  <c r="Q2" i="1"/>
  <c r="E2" i="1" l="1"/>
  <c r="D2" i="1"/>
  <c r="H2" i="1" a="1"/>
  <c r="W4" i="1"/>
  <c r="W5" i="1" s="1"/>
  <c r="W6" i="1" s="1"/>
  <c r="W7" i="1" s="1"/>
  <c r="X2" i="1" a="1"/>
  <c r="X2" i="1" s="1"/>
  <c r="H4" i="1" l="1"/>
  <c r="H3" i="1"/>
  <c r="H2" i="1"/>
  <c r="H7" i="1"/>
  <c r="H6" i="1"/>
  <c r="H5" i="1"/>
  <c r="X3" i="1"/>
  <c r="X4" i="1"/>
  <c r="X5" i="1"/>
  <c r="X7" i="1"/>
  <c r="X6" i="1"/>
</calcChain>
</file>

<file path=xl/sharedStrings.xml><?xml version="1.0" encoding="utf-8"?>
<sst xmlns="http://schemas.openxmlformats.org/spreadsheetml/2006/main" count="72" uniqueCount="13">
  <si>
    <t>A</t>
  </si>
  <si>
    <t>Б</t>
  </si>
  <si>
    <t>k</t>
  </si>
  <si>
    <t>h</t>
  </si>
  <si>
    <t>Размах</t>
  </si>
  <si>
    <t>Min</t>
  </si>
  <si>
    <t>Max</t>
  </si>
  <si>
    <t>Частота</t>
  </si>
  <si>
    <t>Интервалы</t>
  </si>
  <si>
    <t>Частота A</t>
  </si>
  <si>
    <t>Частота Б</t>
  </si>
  <si>
    <t>wi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</si>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</sst>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555008"/>
        <c:axId val="545555336"/>
      </c:barChart>
      <c:catAx>
        <c:axId val="545555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5555336"/>
        <c:crosses val="autoZero"/>
        <c:auto val="1"/>
        <c:lblAlgn val="ctr"/>
        <c:lblOffset val="100"/>
        <c:noMultiLvlLbl val="0"/>
      </c:catAx>
      <c:valAx>
        <c:axId val="54555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555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Частота</a:t>
            </a:r>
            <a:r>
              <a:rPr lang="ru-RU" baseline="0"/>
              <a:t> станка Б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Лист1!$H$2:$H$7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C-4697-9452-4FF0923D7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4120512"/>
        <c:axId val="544120840"/>
      </c:barChart>
      <c:catAx>
        <c:axId val="544120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4120840"/>
        <c:crosses val="autoZero"/>
        <c:auto val="1"/>
        <c:lblAlgn val="ctr"/>
        <c:lblOffset val="100"/>
        <c:noMultiLvlLbl val="0"/>
      </c:catAx>
      <c:valAx>
        <c:axId val="544120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412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Кумулята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Лист1!$I$2:$I$7</c:f>
              <c:numCache>
                <c:formatCode>0.00</c:formatCode>
                <c:ptCount val="6"/>
                <c:pt idx="0">
                  <c:v>10.42</c:v>
                </c:pt>
                <c:pt idx="1">
                  <c:v>10.67028758125028</c:v>
                </c:pt>
                <c:pt idx="2">
                  <c:v>10.92057516250056</c:v>
                </c:pt>
                <c:pt idx="3">
                  <c:v>11.17086274375084</c:v>
                </c:pt>
                <c:pt idx="4">
                  <c:v>11.42115032500112</c:v>
                </c:pt>
                <c:pt idx="5">
                  <c:v>11.6714379062514</c:v>
                </c:pt>
              </c:numCache>
            </c:numRef>
          </c:xVal>
          <c:yVal>
            <c:numRef>
              <c:f>Лист1!$M$2:$M$6</c:f>
              <c:numCache>
                <c:formatCode>General</c:formatCode>
                <c:ptCount val="5"/>
                <c:pt idx="0">
                  <c:v>0.05</c:v>
                </c:pt>
                <c:pt idx="1">
                  <c:v>0.25</c:v>
                </c:pt>
                <c:pt idx="2">
                  <c:v>0.55000000000000004</c:v>
                </c:pt>
                <c:pt idx="3">
                  <c:v>0.9</c:v>
                </c:pt>
                <c:pt idx="4">
                  <c:v>0.95000000000000007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1B-4D9B-89CD-93585DFEA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579360"/>
        <c:axId val="465581000"/>
      </c:scatterChart>
      <c:valAx>
        <c:axId val="46557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5581000"/>
        <c:crosses val="autoZero"/>
        <c:crossBetween val="midCat"/>
      </c:valAx>
      <c:valAx>
        <c:axId val="465581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557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Лист1!$W$2:$W$7</c:f>
              <c:numCache>
                <c:formatCode>0.00</c:formatCode>
                <c:ptCount val="6"/>
                <c:pt idx="0">
                  <c:v>9.56</c:v>
                </c:pt>
                <c:pt idx="1">
                  <c:v>9.8577839876202855</c:v>
                </c:pt>
                <c:pt idx="2">
                  <c:v>10.155567975240571</c:v>
                </c:pt>
                <c:pt idx="3">
                  <c:v>10.453351962860856</c:v>
                </c:pt>
                <c:pt idx="4">
                  <c:v>10.751135950481141</c:v>
                </c:pt>
                <c:pt idx="5">
                  <c:v>11.048919938101426</c:v>
                </c:pt>
              </c:numCache>
            </c:numRef>
          </c:cat>
          <c:val>
            <c:numRef>
              <c:f>Лист1!$X$2:$X$7</c:f>
              <c:numCache>
                <c:formatCode>General</c:formatCode>
                <c:ptCount val="6"/>
                <c:pt idx="0">
                  <c:v>1</c:v>
                </c:pt>
                <c:pt idx="1">
                  <c:v>7</c:v>
                </c:pt>
                <c:pt idx="2">
                  <c:v>17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D-4113-8B76-8D4808612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4980784"/>
        <c:axId val="544983408"/>
      </c:barChart>
      <c:lineChart>
        <c:grouping val="standard"/>
        <c:varyColors val="0"/>
        <c:ser>
          <c:idx val="1"/>
          <c:order val="1"/>
          <c:tx>
            <c:v>1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Лист1!$X$2:$X$7</c:f>
              <c:numCache>
                <c:formatCode>General</c:formatCode>
                <c:ptCount val="6"/>
                <c:pt idx="0">
                  <c:v>1</c:v>
                </c:pt>
                <c:pt idx="1">
                  <c:v>7</c:v>
                </c:pt>
                <c:pt idx="2">
                  <c:v>17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9AD-4113-8B76-8D4808612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980784"/>
        <c:axId val="544983408"/>
      </c:lineChart>
      <c:catAx>
        <c:axId val="544980784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4983408"/>
        <c:crosses val="autoZero"/>
        <c:auto val="1"/>
        <c:lblAlgn val="ctr"/>
        <c:lblOffset val="100"/>
        <c:noMultiLvlLbl val="0"/>
      </c:catAx>
      <c:valAx>
        <c:axId val="54498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498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Частоста</a:t>
            </a:r>
            <a:r>
              <a:rPr lang="ru-RU" baseline="0"/>
              <a:t> станка 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Лист1!$W$2:$W$7</c:f>
              <c:numCache>
                <c:formatCode>0.00</c:formatCode>
                <c:ptCount val="6"/>
                <c:pt idx="0">
                  <c:v>9.56</c:v>
                </c:pt>
                <c:pt idx="1">
                  <c:v>9.8577839876202855</c:v>
                </c:pt>
                <c:pt idx="2">
                  <c:v>10.155567975240571</c:v>
                </c:pt>
                <c:pt idx="3">
                  <c:v>10.453351962860856</c:v>
                </c:pt>
                <c:pt idx="4">
                  <c:v>10.751135950481141</c:v>
                </c:pt>
                <c:pt idx="5">
                  <c:v>11.048919938101426</c:v>
                </c:pt>
              </c:numCache>
            </c:numRef>
          </c:cat>
          <c:val>
            <c:numRef>
              <c:f>Лист1!$X$2:$X$7</c:f>
              <c:numCache>
                <c:formatCode>General</c:formatCode>
                <c:ptCount val="6"/>
                <c:pt idx="0">
                  <c:v>1</c:v>
                </c:pt>
                <c:pt idx="1">
                  <c:v>7</c:v>
                </c:pt>
                <c:pt idx="2">
                  <c:v>17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D-444E-A2DB-EDBEFCC56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4980784"/>
        <c:axId val="544983408"/>
      </c:barChart>
      <c:catAx>
        <c:axId val="544980784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4983408"/>
        <c:crosses val="autoZero"/>
        <c:auto val="1"/>
        <c:lblAlgn val="ctr"/>
        <c:lblOffset val="100"/>
        <c:noMultiLvlLbl val="0"/>
      </c:catAx>
      <c:valAx>
        <c:axId val="54498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498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0FC880D-4EC8-40AE-BAC7-277E6F14A404}">
  <sheetPr/>
  <sheetViews>
    <sheetView zoomScale="12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EBE62A0-516C-470D-BED3-02DC72E647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</xdr:row>
      <xdr:rowOff>119062</xdr:rowOff>
    </xdr:from>
    <xdr:to>
      <xdr:col>10</xdr:col>
      <xdr:colOff>304800</xdr:colOff>
      <xdr:row>25</xdr:row>
      <xdr:rowOff>4762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1EFB168-1F29-4B84-A64B-45D3678E5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171450</xdr:colOff>
      <xdr:row>26</xdr:row>
      <xdr:rowOff>71437</xdr:rowOff>
    </xdr:from>
    <xdr:to>
      <xdr:col>10</xdr:col>
      <xdr:colOff>200025</xdr:colOff>
      <xdr:row>40</xdr:row>
      <xdr:rowOff>147637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EB77D3F-D63C-4357-9951-2C9E2F2D5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152400</xdr:colOff>
      <xdr:row>11</xdr:row>
      <xdr:rowOff>147637</xdr:rowOff>
    </xdr:from>
    <xdr:to>
      <xdr:col>25</xdr:col>
      <xdr:colOff>228600</xdr:colOff>
      <xdr:row>26</xdr:row>
      <xdr:rowOff>33337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387DB131-DA34-463B-806F-48DD0D525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104775</xdr:colOff>
      <xdr:row>11</xdr:row>
      <xdr:rowOff>104775</xdr:rowOff>
    </xdr:from>
    <xdr:to>
      <xdr:col>33</xdr:col>
      <xdr:colOff>409575</xdr:colOff>
      <xdr:row>25</xdr:row>
      <xdr:rowOff>180975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6EB06E8A-6080-4A12-95CD-9190D9C38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5"/>
  <sheetViews>
    <sheetView tabSelected="1" topLeftCell="K1" zoomScaleNormal="100" workbookViewId="0">
      <selection activeCell="W11" sqref="W11"/>
    </sheetView>
  </sheetViews>
  <sheetFormatPr defaultRowHeight="15" x14ac:dyDescent="0.25"/>
  <cols>
    <col min="9" max="9" width="13.28515625" customWidth="1"/>
    <col min="11" max="11" width="10.28515625" bestFit="1" customWidth="1"/>
    <col min="22" max="22" width="10.5703125" customWidth="1"/>
    <col min="23" max="23" width="11.140625" customWidth="1"/>
  </cols>
  <sheetData>
    <row r="1" spans="1:30" x14ac:dyDescent="0.25">
      <c r="A1" s="1">
        <v>11.04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10</v>
      </c>
      <c r="I1" t="s">
        <v>8</v>
      </c>
      <c r="L1" t="s">
        <v>11</v>
      </c>
      <c r="M1" t="s">
        <v>12</v>
      </c>
      <c r="O1" s="1">
        <v>9.94</v>
      </c>
      <c r="P1" s="1" t="s">
        <v>0</v>
      </c>
      <c r="Q1" s="1" t="s">
        <v>2</v>
      </c>
      <c r="R1" s="1" t="s">
        <v>3</v>
      </c>
      <c r="S1" t="s">
        <v>4</v>
      </c>
      <c r="T1" t="s">
        <v>5</v>
      </c>
      <c r="U1" t="s">
        <v>6</v>
      </c>
      <c r="W1" t="s">
        <v>8</v>
      </c>
      <c r="X1" t="s">
        <v>9</v>
      </c>
      <c r="Y1" s="1" t="s">
        <v>7</v>
      </c>
    </row>
    <row r="2" spans="1:30" x14ac:dyDescent="0.25">
      <c r="A2" s="1">
        <v>10.89</v>
      </c>
      <c r="B2" s="1" t="s">
        <v>1</v>
      </c>
      <c r="C2" s="2">
        <f>1+1.4*LN(20)</f>
        <v>5.1940251829755866</v>
      </c>
      <c r="D2" s="2">
        <f>E2/C2</f>
        <v>0.25028758125027967</v>
      </c>
      <c r="E2">
        <f>G2-F2</f>
        <v>1.3000000000000007</v>
      </c>
      <c r="F2">
        <f>MIN(A1:A20)</f>
        <v>10.42</v>
      </c>
      <c r="G2">
        <f>MAX(A1:A20)</f>
        <v>11.72</v>
      </c>
      <c r="H2">
        <f t="array" ref="H2:H7">FREQUENCY(A1:A35,I2:I7)</f>
        <v>1</v>
      </c>
      <c r="I2" s="2">
        <v>10.42</v>
      </c>
      <c r="L2">
        <f t="shared" ref="L2:L7" si="0">H2/20</f>
        <v>0.05</v>
      </c>
      <c r="M2">
        <f>L2</f>
        <v>0.05</v>
      </c>
      <c r="O2" s="1">
        <v>9.74</v>
      </c>
      <c r="P2" s="1" t="s">
        <v>0</v>
      </c>
      <c r="Q2" s="2">
        <f>1+1.4*LN(35)</f>
        <v>5.9774872860851787</v>
      </c>
      <c r="R2" s="2">
        <f>S2/Q2</f>
        <v>0.29778398762028491</v>
      </c>
      <c r="S2">
        <f>U2-T2</f>
        <v>1.7799999999999994</v>
      </c>
      <c r="T2">
        <f>MIN(O1:O35)</f>
        <v>9.56</v>
      </c>
      <c r="U2">
        <f>MAX(O1:O35)</f>
        <v>11.34</v>
      </c>
      <c r="W2" s="2">
        <v>9.56</v>
      </c>
      <c r="X2">
        <f t="array" ref="X2:X7">FREQUENCY(O1:O35,W2:W7)</f>
        <v>1</v>
      </c>
      <c r="Y2" s="1">
        <v>1</v>
      </c>
      <c r="AD2">
        <v>1</v>
      </c>
    </row>
    <row r="3" spans="1:30" x14ac:dyDescent="0.25">
      <c r="A3" s="1">
        <v>11.72</v>
      </c>
      <c r="B3" s="1" t="s">
        <v>1</v>
      </c>
      <c r="H3">
        <v>4</v>
      </c>
      <c r="I3" s="2">
        <f>I2+$D$2</f>
        <v>10.67028758125028</v>
      </c>
      <c r="L3">
        <f t="shared" si="0"/>
        <v>0.2</v>
      </c>
      <c r="M3">
        <f>M2+L3</f>
        <v>0.25</v>
      </c>
      <c r="O3" s="1">
        <v>10.050000000000001</v>
      </c>
      <c r="P3" s="1" t="s">
        <v>0</v>
      </c>
      <c r="W3" s="2">
        <f>W2+$R$2</f>
        <v>9.8577839876202855</v>
      </c>
      <c r="X3">
        <v>7</v>
      </c>
      <c r="Y3" s="1">
        <v>9</v>
      </c>
      <c r="AD3">
        <v>7</v>
      </c>
    </row>
    <row r="4" spans="1:30" x14ac:dyDescent="0.25">
      <c r="A4" s="1">
        <v>10.76</v>
      </c>
      <c r="B4" s="1" t="s">
        <v>1</v>
      </c>
      <c r="H4">
        <v>6</v>
      </c>
      <c r="I4" s="2">
        <f t="shared" ref="I4:I7" si="1">I3+$D$2</f>
        <v>10.92057516250056</v>
      </c>
      <c r="L4">
        <f t="shared" si="0"/>
        <v>0.3</v>
      </c>
      <c r="M4">
        <f t="shared" ref="M4:M7" si="2">M3+L4</f>
        <v>0.55000000000000004</v>
      </c>
      <c r="O4" s="1">
        <v>10.119999999999999</v>
      </c>
      <c r="P4" s="1" t="s">
        <v>0</v>
      </c>
      <c r="W4" s="2">
        <f>W3+$R$2</f>
        <v>10.155567975240571</v>
      </c>
      <c r="X4">
        <v>17</v>
      </c>
      <c r="Y4" s="1">
        <v>17</v>
      </c>
      <c r="AD4">
        <v>17</v>
      </c>
    </row>
    <row r="5" spans="1:30" x14ac:dyDescent="0.25">
      <c r="A5" s="1">
        <v>11.35</v>
      </c>
      <c r="B5" s="1" t="s">
        <v>1</v>
      </c>
      <c r="H5">
        <v>7</v>
      </c>
      <c r="I5" s="2">
        <f t="shared" si="1"/>
        <v>11.17086274375084</v>
      </c>
      <c r="L5">
        <f t="shared" si="0"/>
        <v>0.35</v>
      </c>
      <c r="M5">
        <f t="shared" si="2"/>
        <v>0.9</v>
      </c>
      <c r="O5" s="1">
        <v>10.1</v>
      </c>
      <c r="P5" s="1" t="s">
        <v>0</v>
      </c>
      <c r="W5" s="2">
        <f>W4+$R$2</f>
        <v>10.453351962860856</v>
      </c>
      <c r="X5">
        <v>4</v>
      </c>
      <c r="Y5" s="1">
        <v>6</v>
      </c>
      <c r="AD5">
        <v>4</v>
      </c>
    </row>
    <row r="6" spans="1:30" x14ac:dyDescent="0.25">
      <c r="A6" s="1">
        <v>11</v>
      </c>
      <c r="B6" s="1" t="s">
        <v>1</v>
      </c>
      <c r="H6">
        <v>1</v>
      </c>
      <c r="I6" s="2">
        <f t="shared" si="1"/>
        <v>11.42115032500112</v>
      </c>
      <c r="L6">
        <f t="shared" si="0"/>
        <v>0.05</v>
      </c>
      <c r="M6">
        <f t="shared" si="2"/>
        <v>0.95000000000000007</v>
      </c>
      <c r="O6" s="1">
        <v>10.1</v>
      </c>
      <c r="P6" s="1" t="s">
        <v>0</v>
      </c>
      <c r="W6" s="2">
        <f>W5+$R$2</f>
        <v>10.751135950481141</v>
      </c>
      <c r="X6">
        <v>2</v>
      </c>
      <c r="Y6" s="1">
        <v>7</v>
      </c>
      <c r="AD6">
        <v>2</v>
      </c>
    </row>
    <row r="7" spans="1:30" x14ac:dyDescent="0.25">
      <c r="A7" s="1">
        <v>11</v>
      </c>
      <c r="B7" s="1" t="s">
        <v>1</v>
      </c>
      <c r="H7">
        <v>0</v>
      </c>
      <c r="I7" s="2">
        <f t="shared" si="1"/>
        <v>11.6714379062514</v>
      </c>
      <c r="L7">
        <f t="shared" si="0"/>
        <v>0</v>
      </c>
      <c r="O7" s="1">
        <v>9.56</v>
      </c>
      <c r="P7" s="1" t="s">
        <v>0</v>
      </c>
      <c r="W7" s="2">
        <f>W6+$R$2</f>
        <v>11.048919938101426</v>
      </c>
      <c r="X7">
        <v>2</v>
      </c>
      <c r="Y7" s="1">
        <v>12</v>
      </c>
      <c r="AD7">
        <v>2</v>
      </c>
    </row>
    <row r="8" spans="1:30" x14ac:dyDescent="0.25">
      <c r="A8" s="1">
        <v>10.63</v>
      </c>
      <c r="B8" s="1" t="s">
        <v>1</v>
      </c>
      <c r="I8" s="2"/>
      <c r="O8" s="1">
        <v>9.9499999999999993</v>
      </c>
      <c r="P8" s="1" t="s">
        <v>0</v>
      </c>
      <c r="W8" s="2"/>
      <c r="Y8" s="1">
        <v>2</v>
      </c>
    </row>
    <row r="9" spans="1:30" x14ac:dyDescent="0.25">
      <c r="A9" s="1">
        <v>10.88</v>
      </c>
      <c r="B9" s="1" t="s">
        <v>1</v>
      </c>
      <c r="O9" s="1">
        <v>10.220000000000001</v>
      </c>
      <c r="P9" s="1" t="s">
        <v>0</v>
      </c>
    </row>
    <row r="10" spans="1:30" x14ac:dyDescent="0.25">
      <c r="A10" s="1">
        <v>10.92</v>
      </c>
      <c r="B10" s="1" t="s">
        <v>1</v>
      </c>
      <c r="O10" s="1">
        <v>9.7799999999999994</v>
      </c>
      <c r="P10" s="1" t="s">
        <v>0</v>
      </c>
    </row>
    <row r="11" spans="1:30" x14ac:dyDescent="0.25">
      <c r="A11" s="1">
        <v>11.11</v>
      </c>
      <c r="B11" s="1" t="s">
        <v>1</v>
      </c>
      <c r="O11" s="1">
        <v>9.86</v>
      </c>
      <c r="P11" s="1" t="s">
        <v>0</v>
      </c>
    </row>
    <row r="12" spans="1:30" x14ac:dyDescent="0.25">
      <c r="A12" s="1">
        <v>10.76</v>
      </c>
      <c r="B12" s="1" t="s">
        <v>1</v>
      </c>
      <c r="O12" s="1">
        <v>9.66</v>
      </c>
      <c r="P12" s="1" t="s">
        <v>0</v>
      </c>
    </row>
    <row r="13" spans="1:30" x14ac:dyDescent="0.25">
      <c r="A13" s="1">
        <v>11.01</v>
      </c>
      <c r="B13" s="1" t="s">
        <v>1</v>
      </c>
      <c r="O13" s="1">
        <v>9.6300000000000008</v>
      </c>
      <c r="P13" s="1" t="s">
        <v>0</v>
      </c>
    </row>
    <row r="14" spans="1:30" x14ac:dyDescent="0.25">
      <c r="A14" s="1">
        <v>10.84</v>
      </c>
      <c r="B14" s="1" t="s">
        <v>1</v>
      </c>
      <c r="O14" s="1">
        <v>9.8000000000000007</v>
      </c>
      <c r="P14" s="1" t="s">
        <v>0</v>
      </c>
    </row>
    <row r="15" spans="1:30" x14ac:dyDescent="0.25">
      <c r="A15" s="1">
        <v>10.51</v>
      </c>
      <c r="B15" s="1" t="s">
        <v>1</v>
      </c>
      <c r="O15" s="1">
        <v>9.85</v>
      </c>
      <c r="P15" s="1" t="s">
        <v>0</v>
      </c>
    </row>
    <row r="16" spans="1:30" x14ac:dyDescent="0.25">
      <c r="A16" s="1">
        <v>10.42</v>
      </c>
      <c r="B16" s="1" t="s">
        <v>1</v>
      </c>
      <c r="O16" s="1">
        <v>9.58</v>
      </c>
      <c r="P16" s="1" t="s">
        <v>0</v>
      </c>
    </row>
    <row r="17" spans="1:16" x14ac:dyDescent="0.25">
      <c r="A17" s="1">
        <v>10.67</v>
      </c>
      <c r="B17" s="1" t="s">
        <v>1</v>
      </c>
      <c r="O17" s="1">
        <v>9.89</v>
      </c>
      <c r="P17" s="1" t="s">
        <v>0</v>
      </c>
    </row>
    <row r="18" spans="1:16" x14ac:dyDescent="0.25">
      <c r="A18" s="1">
        <v>10.98</v>
      </c>
      <c r="B18" s="1" t="s">
        <v>1</v>
      </c>
      <c r="O18" s="1">
        <v>9.92</v>
      </c>
      <c r="P18" s="1" t="s">
        <v>0</v>
      </c>
    </row>
    <row r="19" spans="1:16" x14ac:dyDescent="0.25">
      <c r="A19" s="1">
        <v>10.65</v>
      </c>
      <c r="B19" s="1" t="s">
        <v>1</v>
      </c>
      <c r="O19" s="1">
        <v>10.029999999999999</v>
      </c>
      <c r="P19" s="1" t="s">
        <v>0</v>
      </c>
    </row>
    <row r="20" spans="1:16" x14ac:dyDescent="0.25">
      <c r="A20" s="1">
        <v>11.07</v>
      </c>
      <c r="B20" s="1" t="s">
        <v>1</v>
      </c>
      <c r="O20" s="1">
        <v>9.93</v>
      </c>
      <c r="P20" s="1" t="s">
        <v>0</v>
      </c>
    </row>
    <row r="21" spans="1:16" x14ac:dyDescent="0.25">
      <c r="O21" s="1">
        <v>9.93</v>
      </c>
      <c r="P21" s="1" t="s">
        <v>0</v>
      </c>
    </row>
    <row r="22" spans="1:16" x14ac:dyDescent="0.25">
      <c r="O22" s="1">
        <v>9.93</v>
      </c>
      <c r="P22" s="1" t="s">
        <v>0</v>
      </c>
    </row>
    <row r="23" spans="1:16" x14ac:dyDescent="0.25">
      <c r="O23" s="1">
        <v>10.210000000000001</v>
      </c>
      <c r="P23" s="1" t="s">
        <v>0</v>
      </c>
    </row>
    <row r="24" spans="1:16" x14ac:dyDescent="0.25">
      <c r="O24" s="1">
        <v>9.98</v>
      </c>
      <c r="P24" s="1" t="s">
        <v>0</v>
      </c>
    </row>
    <row r="25" spans="1:16" x14ac:dyDescent="0.25">
      <c r="O25" s="1">
        <v>9.9600000000000009</v>
      </c>
      <c r="P25" s="1" t="s">
        <v>0</v>
      </c>
    </row>
    <row r="26" spans="1:16" x14ac:dyDescent="0.25">
      <c r="O26" s="1">
        <v>9.9</v>
      </c>
      <c r="P26" s="1" t="s">
        <v>0</v>
      </c>
    </row>
    <row r="27" spans="1:16" x14ac:dyDescent="0.25">
      <c r="O27" s="1">
        <v>10.220000000000001</v>
      </c>
      <c r="P27" s="1" t="s">
        <v>0</v>
      </c>
    </row>
    <row r="28" spans="1:16" x14ac:dyDescent="0.25">
      <c r="O28" s="1">
        <v>10.17</v>
      </c>
      <c r="P28" s="1" t="s">
        <v>0</v>
      </c>
    </row>
    <row r="29" spans="1:16" x14ac:dyDescent="0.25">
      <c r="O29" s="1">
        <v>10.48</v>
      </c>
      <c r="P29" s="1" t="s">
        <v>0</v>
      </c>
    </row>
    <row r="30" spans="1:16" x14ac:dyDescent="0.25">
      <c r="O30" s="1">
        <v>9.8699999999999992</v>
      </c>
      <c r="P30" s="1" t="s">
        <v>0</v>
      </c>
    </row>
    <row r="31" spans="1:16" x14ac:dyDescent="0.25">
      <c r="O31" s="1">
        <v>10.84</v>
      </c>
      <c r="P31" s="1" t="s">
        <v>0</v>
      </c>
    </row>
    <row r="32" spans="1:16" x14ac:dyDescent="0.25">
      <c r="O32" s="1">
        <v>10.93</v>
      </c>
      <c r="P32" s="1" t="s">
        <v>0</v>
      </c>
    </row>
    <row r="33" spans="15:16" x14ac:dyDescent="0.25">
      <c r="O33" s="1">
        <v>11.13</v>
      </c>
      <c r="P33" s="1" t="s">
        <v>0</v>
      </c>
    </row>
    <row r="34" spans="15:16" x14ac:dyDescent="0.25">
      <c r="O34" s="1">
        <v>10.5</v>
      </c>
      <c r="P34" s="1" t="s">
        <v>0</v>
      </c>
    </row>
    <row r="35" spans="15:16" x14ac:dyDescent="0.25">
      <c r="O35" s="1">
        <v>11.34</v>
      </c>
      <c r="P35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2021-12-17T10:31:24Z</dcterms:modified>
</cp:coreProperties>
</file>