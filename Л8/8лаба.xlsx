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9FDA537E-51F8-40C8-A56A-97AF93093532}" xr6:coauthVersionLast="38" xr6:coauthVersionMax="38" xr10:uidLastSave="{00000000-0000-0000-0000-000000000000}"/>
  <bookViews>
    <workbookView xWindow="1395" yWindow="0" windowWidth="22260" windowHeight="12645" activeTab="1" xr2:uid="{00000000-000D-0000-FFFF-FFFF00000000}"/>
  </bookViews>
  <sheets>
    <sheet name="Диаграмма1" sheetId="2" r:id="rId1"/>
    <sheet name="Лист1" sheetId="1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H2" i="1"/>
  <c r="G2" i="1"/>
  <c r="Q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  <c r="F6" i="1" l="1"/>
  <c r="E6" i="1"/>
  <c r="M8" i="1"/>
  <c r="L8" i="1"/>
  <c r="H18" i="1" l="1"/>
  <c r="K18" i="1"/>
  <c r="M18" i="1" s="1"/>
  <c r="G11" i="1"/>
  <c r="J11" i="1" s="1"/>
  <c r="E11" i="1"/>
  <c r="N2" i="1"/>
  <c r="T2" i="1" s="1"/>
  <c r="C5" i="1" s="1"/>
  <c r="C2" i="1"/>
  <c r="L11" i="1" l="1"/>
  <c r="E14" i="1"/>
  <c r="H13" i="1" s="1"/>
  <c r="E18" i="1"/>
  <c r="H17" i="1" s="1"/>
  <c r="E17" i="1"/>
  <c r="H16" i="1" s="1"/>
  <c r="E16" i="1"/>
  <c r="H15" i="1" s="1"/>
  <c r="E15" i="1"/>
  <c r="H14" i="1" s="1"/>
  <c r="E12" i="1"/>
  <c r="E13" i="1"/>
  <c r="H12" i="1" s="1"/>
  <c r="C4" i="1"/>
  <c r="C3" i="1"/>
  <c r="C7" i="1"/>
  <c r="C8" i="1"/>
  <c r="C9" i="1"/>
  <c r="C6" i="1"/>
  <c r="H11" i="1" l="1"/>
  <c r="K11" i="1" s="1"/>
  <c r="G12" i="1"/>
  <c r="J12" i="1" s="1"/>
  <c r="G17" i="1"/>
  <c r="J17" i="1" s="1"/>
  <c r="K16" i="1"/>
  <c r="M16" i="1" s="1"/>
  <c r="G18" i="1"/>
  <c r="J18" i="1" s="1"/>
  <c r="K17" i="1"/>
  <c r="M17" i="1" s="1"/>
  <c r="G14" i="1"/>
  <c r="J14" i="1" s="1"/>
  <c r="K13" i="1"/>
  <c r="M13" i="1" s="1"/>
  <c r="G16" i="1"/>
  <c r="J16" i="1" s="1"/>
  <c r="K15" i="1"/>
  <c r="M15" i="1" s="1"/>
  <c r="G15" i="1"/>
  <c r="J15" i="1" s="1"/>
  <c r="K14" i="1"/>
  <c r="M14" i="1" s="1"/>
  <c r="D2" i="1" a="1"/>
  <c r="D2" i="1" s="1"/>
  <c r="I11" i="1" a="1"/>
  <c r="I11" i="1" s="1"/>
  <c r="M11" i="1" l="1"/>
  <c r="N11" i="1" s="1"/>
  <c r="O11" i="1" s="1"/>
  <c r="L14" i="1"/>
  <c r="L18" i="1"/>
  <c r="L15" i="1"/>
  <c r="L17" i="1"/>
  <c r="L16" i="1"/>
  <c r="L12" i="1"/>
  <c r="P11" i="1"/>
  <c r="G13" i="1"/>
  <c r="J13" i="1" s="1"/>
  <c r="K12" i="1"/>
  <c r="M12" i="1" s="1"/>
  <c r="D8" i="1"/>
  <c r="D6" i="1"/>
  <c r="D5" i="1"/>
  <c r="D4" i="1"/>
  <c r="D9" i="1"/>
  <c r="D7" i="1"/>
  <c r="D3" i="1"/>
  <c r="I18" i="1"/>
  <c r="I13" i="1"/>
  <c r="I16" i="1"/>
  <c r="I14" i="1"/>
  <c r="I12" i="1"/>
  <c r="I17" i="1"/>
  <c r="I15" i="1"/>
  <c r="N17" i="1" l="1"/>
  <c r="O17" i="1" s="1"/>
  <c r="P17" i="1" s="1"/>
  <c r="N15" i="1"/>
  <c r="O15" i="1" s="1"/>
  <c r="P15" i="1" s="1"/>
  <c r="N16" i="1"/>
  <c r="O16" i="1" s="1"/>
  <c r="P16" i="1" s="1"/>
  <c r="N18" i="1"/>
  <c r="O18" i="1" s="1"/>
  <c r="P18" i="1" s="1"/>
  <c r="N12" i="1"/>
  <c r="O12" i="1" s="1"/>
  <c r="N14" i="1"/>
  <c r="O14" i="1" s="1"/>
  <c r="P14" i="1" s="1"/>
  <c r="L13" i="1"/>
  <c r="I19" i="1"/>
  <c r="P12" i="1" l="1"/>
  <c r="N13" i="1"/>
  <c r="O13" i="1" l="1"/>
  <c r="N19" i="1"/>
  <c r="O19" i="1" s="1"/>
  <c r="P13" i="1" l="1"/>
  <c r="P19" i="1"/>
</calcChain>
</file>

<file path=xl/sharedStrings.xml><?xml version="1.0" encoding="utf-8"?>
<sst xmlns="http://schemas.openxmlformats.org/spreadsheetml/2006/main" count="16" uniqueCount="16">
  <si>
    <t>max</t>
  </si>
  <si>
    <t>min</t>
  </si>
  <si>
    <t>R - размах выборки</t>
  </si>
  <si>
    <t>k - Число интервалов</t>
  </si>
  <si>
    <t>h - ширина интервала</t>
  </si>
  <si>
    <t>интервал</t>
  </si>
  <si>
    <t>№</t>
  </si>
  <si>
    <t>Значения</t>
  </si>
  <si>
    <t>Частота</t>
  </si>
  <si>
    <t>X</t>
  </si>
  <si>
    <t>S</t>
  </si>
  <si>
    <t xml:space="preserve"> - среднее квадратичное отклонение</t>
  </si>
  <si>
    <t>i</t>
  </si>
  <si>
    <t>Сумма</t>
  </si>
  <si>
    <t>a</t>
  </si>
  <si>
    <t>X^2кр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</si>
</sst>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Лист1!$G$11:$G$18</c:f>
              <c:numCache>
                <c:formatCode>0</c:formatCode>
                <c:ptCount val="8"/>
                <c:pt idx="0">
                  <c:v>10</c:v>
                </c:pt>
                <c:pt idx="1">
                  <c:v>21.950738903231887</c:v>
                </c:pt>
                <c:pt idx="2">
                  <c:v>33.901477806463774</c:v>
                </c:pt>
                <c:pt idx="3">
                  <c:v>45.852216709695661</c:v>
                </c:pt>
                <c:pt idx="4">
                  <c:v>57.802955612927548</c:v>
                </c:pt>
                <c:pt idx="5">
                  <c:v>69.753694516159442</c:v>
                </c:pt>
                <c:pt idx="6">
                  <c:v>81.704433419391322</c:v>
                </c:pt>
                <c:pt idx="7">
                  <c:v>93.655172322623201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C-4FAB-A498-D574551D046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Лист1!$I$11:$I$18</c:f>
              <c:numCache>
                <c:formatCode>General</c:formatCode>
                <c:ptCount val="8"/>
                <c:pt idx="0">
                  <c:v>1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18</c:v>
                </c:pt>
                <c:pt idx="5">
                  <c:v>16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C-4FAB-A498-D574551D046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Лист1!$O$11:$O$18</c:f>
              <c:numCache>
                <c:formatCode>0.000</c:formatCode>
                <c:ptCount val="8"/>
                <c:pt idx="0">
                  <c:v>5.1917693672921423</c:v>
                </c:pt>
                <c:pt idx="1">
                  <c:v>9.6516136753994779</c:v>
                </c:pt>
                <c:pt idx="2">
                  <c:v>14.559358714445874</c:v>
                </c:pt>
                <c:pt idx="3">
                  <c:v>17.821997392681087</c:v>
                </c:pt>
                <c:pt idx="4">
                  <c:v>17.703098823929984</c:v>
                </c:pt>
                <c:pt idx="5">
                  <c:v>14.269894701857588</c:v>
                </c:pt>
                <c:pt idx="6">
                  <c:v>9.3339047826392463</c:v>
                </c:pt>
                <c:pt idx="7">
                  <c:v>2.6719497536179859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C-4FAB-A498-D574551D0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858632"/>
        <c:axId val="597866832"/>
      </c:barChart>
      <c:catAx>
        <c:axId val="597858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7866832"/>
        <c:crosses val="autoZero"/>
        <c:auto val="1"/>
        <c:lblAlgn val="ctr"/>
        <c:lblOffset val="100"/>
        <c:noMultiLvlLbl val="0"/>
      </c:catAx>
      <c:valAx>
        <c:axId val="5978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785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v>Эмпирическая кривая распределения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Лист1!$I$11:$I$18</c:f>
              <c:numCache>
                <c:formatCode>General</c:formatCode>
                <c:ptCount val="8"/>
                <c:pt idx="0">
                  <c:v>1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18</c:v>
                </c:pt>
                <c:pt idx="5">
                  <c:v>16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B-4F45-9221-D32E11939946}"/>
            </c:ext>
          </c:extLst>
        </c:ser>
        <c:ser>
          <c:idx val="1"/>
          <c:order val="1"/>
          <c:tx>
            <c:v>теоретическая кривая распределения</c:v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Лист1!$O$11:$O$18</c:f>
              <c:numCache>
                <c:formatCode>0.000</c:formatCode>
                <c:ptCount val="8"/>
                <c:pt idx="0">
                  <c:v>5.1917693672921423</c:v>
                </c:pt>
                <c:pt idx="1">
                  <c:v>9.6516136753994779</c:v>
                </c:pt>
                <c:pt idx="2">
                  <c:v>14.559358714445874</c:v>
                </c:pt>
                <c:pt idx="3">
                  <c:v>17.821997392681087</c:v>
                </c:pt>
                <c:pt idx="4">
                  <c:v>17.703098823929984</c:v>
                </c:pt>
                <c:pt idx="5">
                  <c:v>14.269894701857588</c:v>
                </c:pt>
                <c:pt idx="6">
                  <c:v>9.3339047826392463</c:v>
                </c:pt>
                <c:pt idx="7">
                  <c:v>2.6719497536179859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0B-4F45-9221-D32E11939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4754752"/>
        <c:axId val="374753112"/>
      </c:lineChart>
      <c:catAx>
        <c:axId val="374754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4753112"/>
        <c:crosses val="autoZero"/>
        <c:auto val="1"/>
        <c:lblAlgn val="ctr"/>
        <c:lblOffset val="100"/>
        <c:noMultiLvlLbl val="0"/>
      </c:catAx>
      <c:valAx>
        <c:axId val="37475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475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A1221D-9FD2-44C3-9B39-A4EA9F27C086}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.xml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DDE974-AEAC-4613-984B-4A72EC1B41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158101</xdr:colOff>
      <xdr:row>9</xdr:row>
      <xdr:rowOff>12963</xdr:rowOff>
    </xdr:from>
    <xdr:to>
      <xdr:col>6</xdr:col>
      <xdr:colOff>496956</xdr:colOff>
      <xdr:row>9</xdr:row>
      <xdr:rowOff>337221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5F8A264-DDA9-4517-9A80-27005A3D0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4862" y="1777159"/>
          <a:ext cx="338855" cy="324258"/>
        </a:xfrm>
        <a:prstGeom prst="rect">
          <a:avLst/>
        </a:prstGeom>
      </xdr:spPr>
    </xdr:pic>
    <xdr:clientData/>
  </xdr:twoCellAnchor>
  <xdr:twoCellAnchor editAs="oneCell">
    <xdr:from>
      <xdr:col>7</xdr:col>
      <xdr:colOff>140804</xdr:colOff>
      <xdr:row>9</xdr:row>
      <xdr:rowOff>66262</xdr:rowOff>
    </xdr:from>
    <xdr:to>
      <xdr:col>7</xdr:col>
      <xdr:colOff>484066</xdr:colOff>
      <xdr:row>9</xdr:row>
      <xdr:rowOff>372718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D5A5519-BBC5-4A4C-B7C6-59038F0B1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0478" y="1830458"/>
          <a:ext cx="343262" cy="306456"/>
        </a:xfrm>
        <a:prstGeom prst="rect">
          <a:avLst/>
        </a:prstGeom>
      </xdr:spPr>
    </xdr:pic>
    <xdr:clientData/>
  </xdr:twoCellAnchor>
  <xdr:twoCellAnchor editAs="oneCell">
    <xdr:from>
      <xdr:col>8</xdr:col>
      <xdr:colOff>124239</xdr:colOff>
      <xdr:row>9</xdr:row>
      <xdr:rowOff>41413</xdr:rowOff>
    </xdr:from>
    <xdr:to>
      <xdr:col>8</xdr:col>
      <xdr:colOff>457572</xdr:colOff>
      <xdr:row>9</xdr:row>
      <xdr:rowOff>346175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23BC1A8-E874-4505-BAF0-07EF31A66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6826" y="1805609"/>
          <a:ext cx="333333" cy="304762"/>
        </a:xfrm>
        <a:prstGeom prst="rect">
          <a:avLst/>
        </a:prstGeom>
      </xdr:spPr>
    </xdr:pic>
    <xdr:clientData/>
  </xdr:twoCellAnchor>
  <xdr:twoCellAnchor editAs="oneCell">
    <xdr:from>
      <xdr:col>9</xdr:col>
      <xdr:colOff>165652</xdr:colOff>
      <xdr:row>9</xdr:row>
      <xdr:rowOff>57978</xdr:rowOff>
    </xdr:from>
    <xdr:to>
      <xdr:col>9</xdr:col>
      <xdr:colOff>470414</xdr:colOff>
      <xdr:row>9</xdr:row>
      <xdr:rowOff>334168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87490B0-2EC0-4A09-986C-A6EADDC1F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71152" y="1822174"/>
          <a:ext cx="304762" cy="276190"/>
        </a:xfrm>
        <a:prstGeom prst="rect">
          <a:avLst/>
        </a:prstGeom>
      </xdr:spPr>
    </xdr:pic>
    <xdr:clientData/>
  </xdr:twoCellAnchor>
  <xdr:twoCellAnchor editAs="oneCell">
    <xdr:from>
      <xdr:col>10</xdr:col>
      <xdr:colOff>132521</xdr:colOff>
      <xdr:row>9</xdr:row>
      <xdr:rowOff>57978</xdr:rowOff>
    </xdr:from>
    <xdr:to>
      <xdr:col>10</xdr:col>
      <xdr:colOff>513473</xdr:colOff>
      <xdr:row>9</xdr:row>
      <xdr:rowOff>353216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E357A19-5B58-4DB9-9FA5-878F0DAC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50934" y="1822174"/>
          <a:ext cx="380952" cy="295238"/>
        </a:xfrm>
        <a:prstGeom prst="rect">
          <a:avLst/>
        </a:prstGeom>
      </xdr:spPr>
    </xdr:pic>
    <xdr:clientData/>
  </xdr:twoCellAnchor>
  <xdr:twoCellAnchor editAs="oneCell">
    <xdr:from>
      <xdr:col>11</xdr:col>
      <xdr:colOff>124239</xdr:colOff>
      <xdr:row>9</xdr:row>
      <xdr:rowOff>57979</xdr:rowOff>
    </xdr:from>
    <xdr:to>
      <xdr:col>11</xdr:col>
      <xdr:colOff>525885</xdr:colOff>
      <xdr:row>9</xdr:row>
      <xdr:rowOff>363230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9374358-518E-47B3-B16E-26EF7E54A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55565" y="1822175"/>
          <a:ext cx="401646" cy="305251"/>
        </a:xfrm>
        <a:prstGeom prst="rect">
          <a:avLst/>
        </a:prstGeom>
      </xdr:spPr>
    </xdr:pic>
    <xdr:clientData/>
  </xdr:twoCellAnchor>
  <xdr:twoCellAnchor editAs="oneCell">
    <xdr:from>
      <xdr:col>12</xdr:col>
      <xdr:colOff>91109</xdr:colOff>
      <xdr:row>9</xdr:row>
      <xdr:rowOff>33130</xdr:rowOff>
    </xdr:from>
    <xdr:to>
      <xdr:col>12</xdr:col>
      <xdr:colOff>551140</xdr:colOff>
      <xdr:row>9</xdr:row>
      <xdr:rowOff>364029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6EE7B2BE-8DBF-4196-A1E6-FE6725FB7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35348" y="1797326"/>
          <a:ext cx="460031" cy="330899"/>
        </a:xfrm>
        <a:prstGeom prst="rect">
          <a:avLst/>
        </a:prstGeom>
      </xdr:spPr>
    </xdr:pic>
    <xdr:clientData/>
  </xdr:twoCellAnchor>
  <xdr:twoCellAnchor editAs="oneCell">
    <xdr:from>
      <xdr:col>13</xdr:col>
      <xdr:colOff>173935</xdr:colOff>
      <xdr:row>9</xdr:row>
      <xdr:rowOff>24848</xdr:rowOff>
    </xdr:from>
    <xdr:to>
      <xdr:col>13</xdr:col>
      <xdr:colOff>459649</xdr:colOff>
      <xdr:row>9</xdr:row>
      <xdr:rowOff>339134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70E07D6-34EB-4B9D-8ED7-E67E6BF97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1087" y="1789044"/>
          <a:ext cx="285714" cy="314286"/>
        </a:xfrm>
        <a:prstGeom prst="rect">
          <a:avLst/>
        </a:prstGeom>
      </xdr:spPr>
    </xdr:pic>
    <xdr:clientData/>
  </xdr:twoCellAnchor>
  <xdr:twoCellAnchor editAs="oneCell">
    <xdr:from>
      <xdr:col>14</xdr:col>
      <xdr:colOff>157370</xdr:colOff>
      <xdr:row>9</xdr:row>
      <xdr:rowOff>41413</xdr:rowOff>
    </xdr:from>
    <xdr:to>
      <xdr:col>14</xdr:col>
      <xdr:colOff>500227</xdr:colOff>
      <xdr:row>9</xdr:row>
      <xdr:rowOff>327127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3B1FDD86-4B3C-45DB-B189-7D333C275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27435" y="1805609"/>
          <a:ext cx="342857" cy="285714"/>
        </a:xfrm>
        <a:prstGeom prst="rect">
          <a:avLst/>
        </a:prstGeom>
      </xdr:spPr>
    </xdr:pic>
    <xdr:clientData/>
  </xdr:twoCellAnchor>
  <xdr:twoCellAnchor editAs="oneCell">
    <xdr:from>
      <xdr:col>15</xdr:col>
      <xdr:colOff>66261</xdr:colOff>
      <xdr:row>9</xdr:row>
      <xdr:rowOff>49697</xdr:rowOff>
    </xdr:from>
    <xdr:to>
      <xdr:col>15</xdr:col>
      <xdr:colOff>566010</xdr:colOff>
      <xdr:row>9</xdr:row>
      <xdr:rowOff>369761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DD1DFE36-FB58-474F-BE24-D74549763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49239" y="1813893"/>
          <a:ext cx="499749" cy="320064"/>
        </a:xfrm>
        <a:prstGeom prst="rect">
          <a:avLst/>
        </a:prstGeom>
      </xdr:spPr>
    </xdr:pic>
    <xdr:clientData/>
  </xdr:twoCellAnchor>
  <xdr:twoCellAnchor>
    <xdr:from>
      <xdr:col>6</xdr:col>
      <xdr:colOff>314739</xdr:colOff>
      <xdr:row>21</xdr:row>
      <xdr:rowOff>19877</xdr:rowOff>
    </xdr:from>
    <xdr:to>
      <xdr:col>13</xdr:col>
      <xdr:colOff>596348</xdr:colOff>
      <xdr:row>35</xdr:row>
      <xdr:rowOff>96077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F219D734-7C35-495F-9455-9D4247D58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topLeftCell="A5" zoomScale="115" zoomScaleNormal="115" workbookViewId="0">
      <selection activeCell="T10" sqref="T10"/>
    </sheetView>
  </sheetViews>
  <sheetFormatPr defaultRowHeight="15" x14ac:dyDescent="0.25"/>
  <cols>
    <col min="1" max="1" width="9.140625" customWidth="1"/>
    <col min="2" max="2" width="12.85546875" customWidth="1"/>
    <col min="3" max="3" width="11.28515625" customWidth="1"/>
    <col min="16" max="16" width="13" bestFit="1" customWidth="1"/>
  </cols>
  <sheetData>
    <row r="1" spans="1:20" x14ac:dyDescent="0.25">
      <c r="A1" s="1" t="s">
        <v>6</v>
      </c>
      <c r="B1" s="1" t="s">
        <v>7</v>
      </c>
      <c r="C1" s="1" t="s">
        <v>5</v>
      </c>
      <c r="D1" s="1" t="s">
        <v>8</v>
      </c>
      <c r="F1" s="2" t="s">
        <v>14</v>
      </c>
      <c r="G1">
        <v>0.05</v>
      </c>
      <c r="H1">
        <v>0.5</v>
      </c>
      <c r="I1">
        <v>0.1</v>
      </c>
      <c r="N1" t="s">
        <v>2</v>
      </c>
      <c r="Q1" t="s">
        <v>3</v>
      </c>
      <c r="T1" t="s">
        <v>4</v>
      </c>
    </row>
    <row r="2" spans="1:20" x14ac:dyDescent="0.25">
      <c r="A2" s="1">
        <v>1</v>
      </c>
      <c r="B2" s="2">
        <f ca="1">RANDBETWEEN(10,99)</f>
        <v>51</v>
      </c>
      <c r="C2" s="2">
        <f ca="1">M8</f>
        <v>10</v>
      </c>
      <c r="D2" s="1">
        <f t="array" aca="1" ref="D2:D9" ca="1">FREQUENCY(B2:B101,C2:C9)</f>
        <v>1</v>
      </c>
      <c r="F2" s="2" t="s">
        <v>15</v>
      </c>
      <c r="G2" s="10">
        <f>CHIINV(0.05,2)</f>
        <v>5.9914645471079817</v>
      </c>
      <c r="H2">
        <f>CHIINV(0.5,2)</f>
        <v>1.3862943611198906</v>
      </c>
      <c r="I2">
        <f>CHIINV(0.1,2)</f>
        <v>4.6051701859880909</v>
      </c>
      <c r="N2" s="2">
        <f ca="1">L8-M8</f>
        <v>89</v>
      </c>
      <c r="O2" s="1"/>
      <c r="P2" s="1"/>
      <c r="Q2" s="2">
        <f>1+1.4*LN(100)</f>
        <v>7.4472382603833278</v>
      </c>
      <c r="R2" s="1"/>
      <c r="S2" s="1"/>
      <c r="T2" s="2">
        <f ca="1">N2/Q2</f>
        <v>11.950738903231887</v>
      </c>
    </row>
    <row r="3" spans="1:20" x14ac:dyDescent="0.25">
      <c r="A3" s="1">
        <v>2</v>
      </c>
      <c r="B3" s="2">
        <f t="shared" ref="B3:B66" ca="1" si="0">RANDBETWEEN(10,99)</f>
        <v>25</v>
      </c>
      <c r="C3" s="2">
        <f ca="1">$M$8+T2*A2</f>
        <v>21.950738903231887</v>
      </c>
      <c r="D3" s="1">
        <f ca="1"/>
        <v>10</v>
      </c>
      <c r="E3" s="2"/>
    </row>
    <row r="4" spans="1:20" x14ac:dyDescent="0.25">
      <c r="A4" s="1">
        <v>3</v>
      </c>
      <c r="B4" s="2">
        <f t="shared" ca="1" si="0"/>
        <v>91</v>
      </c>
      <c r="C4" s="2">
        <f t="shared" ref="C4:C9" ca="1" si="1">$M$8+$T$2*A3</f>
        <v>33.901477806463774</v>
      </c>
      <c r="D4" s="1">
        <f ca="1"/>
        <v>10</v>
      </c>
      <c r="E4" s="2"/>
    </row>
    <row r="5" spans="1:20" x14ac:dyDescent="0.25">
      <c r="A5" s="1">
        <v>4</v>
      </c>
      <c r="B5" s="2">
        <f t="shared" ca="1" si="0"/>
        <v>99</v>
      </c>
      <c r="C5" s="2">
        <f t="shared" ca="1" si="1"/>
        <v>45.852216709695661</v>
      </c>
      <c r="D5" s="1">
        <f ca="1"/>
        <v>11</v>
      </c>
      <c r="E5" s="1" t="s">
        <v>9</v>
      </c>
      <c r="F5" t="s">
        <v>10</v>
      </c>
      <c r="G5" t="s">
        <v>11</v>
      </c>
    </row>
    <row r="6" spans="1:20" x14ac:dyDescent="0.25">
      <c r="A6" s="1">
        <v>5</v>
      </c>
      <c r="B6" s="2">
        <f t="shared" ca="1" si="0"/>
        <v>59</v>
      </c>
      <c r="C6" s="2">
        <f t="shared" ca="1" si="1"/>
        <v>57.802955612927548</v>
      </c>
      <c r="D6" s="1">
        <f ca="1"/>
        <v>18</v>
      </c>
      <c r="E6" s="2">
        <f ca="1">AVERAGE(B2:B101)</f>
        <v>57.42</v>
      </c>
      <c r="F6" s="2">
        <f ca="1">_xlfn.STDEV.S(B2:B101)</f>
        <v>25.916797719633571</v>
      </c>
    </row>
    <row r="7" spans="1:20" x14ac:dyDescent="0.25">
      <c r="A7" s="1">
        <v>6</v>
      </c>
      <c r="B7" s="2">
        <f t="shared" ca="1" si="0"/>
        <v>54</v>
      </c>
      <c r="C7" s="2">
        <f t="shared" ca="1" si="1"/>
        <v>69.753694516159442</v>
      </c>
      <c r="D7" s="1">
        <f ca="1"/>
        <v>16</v>
      </c>
      <c r="E7" s="2"/>
      <c r="L7" s="1" t="s">
        <v>0</v>
      </c>
      <c r="M7" s="1" t="s">
        <v>1</v>
      </c>
    </row>
    <row r="8" spans="1:20" x14ac:dyDescent="0.25">
      <c r="A8" s="1">
        <v>7</v>
      </c>
      <c r="B8" s="2">
        <f t="shared" ca="1" si="0"/>
        <v>12</v>
      </c>
      <c r="C8" s="2">
        <f t="shared" ca="1" si="1"/>
        <v>81.704433419391322</v>
      </c>
      <c r="D8" s="1">
        <f ca="1"/>
        <v>12</v>
      </c>
      <c r="E8" s="2"/>
      <c r="L8" s="2">
        <f ca="1">MAX(B2:B101)</f>
        <v>99</v>
      </c>
      <c r="M8" s="2">
        <f ca="1">MIN(B2:B101)</f>
        <v>10</v>
      </c>
    </row>
    <row r="9" spans="1:20" ht="18.75" customHeight="1" x14ac:dyDescent="0.25">
      <c r="A9" s="1">
        <v>8</v>
      </c>
      <c r="B9" s="2">
        <f t="shared" ca="1" si="0"/>
        <v>99</v>
      </c>
      <c r="C9" s="2">
        <f t="shared" ca="1" si="1"/>
        <v>93.655172322623201</v>
      </c>
      <c r="D9" s="1">
        <f ca="1"/>
        <v>14</v>
      </c>
      <c r="E9" s="2"/>
    </row>
    <row r="10" spans="1:20" ht="30" customHeight="1" x14ac:dyDescent="0.25">
      <c r="A10" s="1">
        <v>9</v>
      </c>
      <c r="B10" s="2">
        <f t="shared" ca="1" si="0"/>
        <v>68</v>
      </c>
      <c r="C10" s="2"/>
      <c r="E10" s="2"/>
      <c r="F10" s="6" t="s">
        <v>12</v>
      </c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20" x14ac:dyDescent="0.25">
      <c r="A11" s="1">
        <v>10</v>
      </c>
      <c r="B11" s="2">
        <f t="shared" ca="1" si="0"/>
        <v>91</v>
      </c>
      <c r="E11" s="2">
        <f ca="1">M8</f>
        <v>10</v>
      </c>
      <c r="F11" s="3">
        <v>1</v>
      </c>
      <c r="G11" s="3">
        <f ca="1">M8</f>
        <v>10</v>
      </c>
      <c r="H11" s="3">
        <f ca="1">C3</f>
        <v>21.950738903231887</v>
      </c>
      <c r="I11" s="4">
        <f t="array" aca="1" ref="I11:I18" ca="1">FREQUENCY(B2:B101,C2:C9)</f>
        <v>1</v>
      </c>
      <c r="J11" s="5">
        <f ca="1">(G11-E6)/F6</f>
        <v>-1.8297013586704205</v>
      </c>
      <c r="K11" s="5">
        <f t="shared" ref="K11:K18" ca="1" si="2">(H11-$E$6)/$F$6</f>
        <v>-1.3685819320917862</v>
      </c>
      <c r="L11" s="5">
        <f ca="1">NORMSDIST(J11) - 0.5</f>
        <v>-0.46635269618222264</v>
      </c>
      <c r="M11" s="5">
        <f ca="1">NORMSDIST(K11) - 0.5</f>
        <v>-0.41443500250930121</v>
      </c>
      <c r="N11" s="5">
        <f ca="1">M11-L11</f>
        <v>5.1917693672921428E-2</v>
      </c>
      <c r="O11" s="5">
        <f ca="1">100*N11</f>
        <v>5.1917693672921423</v>
      </c>
      <c r="P11" s="5">
        <f ca="1">POWER(I11-O11,2)/O11</f>
        <v>3.3843819294563913</v>
      </c>
    </row>
    <row r="12" spans="1:20" x14ac:dyDescent="0.25">
      <c r="A12" s="1">
        <v>11</v>
      </c>
      <c r="B12" s="2">
        <f t="shared" ca="1" si="0"/>
        <v>74</v>
      </c>
      <c r="E12" s="2">
        <f t="shared" ref="E12:E18" ca="1" si="3">$M$8+$T$2*A2</f>
        <v>21.950738903231887</v>
      </c>
      <c r="F12" s="3">
        <v>2</v>
      </c>
      <c r="G12" s="3">
        <f ca="1">C3</f>
        <v>21.950738903231887</v>
      </c>
      <c r="H12" s="3">
        <f t="shared" ref="H12:H17" ca="1" si="4">E13</f>
        <v>33.901477806463774</v>
      </c>
      <c r="I12" s="4">
        <f ca="1"/>
        <v>10</v>
      </c>
      <c r="J12" s="5">
        <f t="shared" ref="J12:J18" ca="1" si="5">(G12-$E$6)/$F$6</f>
        <v>-1.3685819320917862</v>
      </c>
      <c r="K12" s="5">
        <f t="shared" ca="1" si="2"/>
        <v>-0.90746250551315211</v>
      </c>
      <c r="L12" s="5">
        <f t="shared" ref="L12:L18" ca="1" si="6">NORMSDIST(J12) - 0.5</f>
        <v>-0.41443500250930121</v>
      </c>
      <c r="M12" s="5">
        <f t="shared" ref="M12:M18" ca="1" si="7">NORMSDIST(K12) - 0.5</f>
        <v>-0.31791886575530642</v>
      </c>
      <c r="N12" s="5">
        <f t="shared" ref="N12:N18" ca="1" si="8">M12-L12</f>
        <v>9.6516136753994786E-2</v>
      </c>
      <c r="O12" s="5">
        <f ca="1">100*N12</f>
        <v>9.6516136753994779</v>
      </c>
      <c r="P12" s="5">
        <f ca="1">POWER(I12-O12,2)/O12</f>
        <v>1.2575413319538689E-2</v>
      </c>
    </row>
    <row r="13" spans="1:20" x14ac:dyDescent="0.25">
      <c r="A13" s="1">
        <v>12</v>
      </c>
      <c r="B13" s="2">
        <f t="shared" ca="1" si="0"/>
        <v>60</v>
      </c>
      <c r="E13" s="2">
        <f t="shared" ca="1" si="3"/>
        <v>33.901477806463774</v>
      </c>
      <c r="F13" s="3">
        <v>3</v>
      </c>
      <c r="G13" s="3">
        <f t="shared" ref="G13:G18" ca="1" si="9">H12</f>
        <v>33.901477806463774</v>
      </c>
      <c r="H13" s="3">
        <f t="shared" ca="1" si="4"/>
        <v>45.852216709695661</v>
      </c>
      <c r="I13" s="4">
        <f ca="1"/>
        <v>10</v>
      </c>
      <c r="J13" s="5">
        <f t="shared" ca="1" si="5"/>
        <v>-0.90746250551315211</v>
      </c>
      <c r="K13" s="5">
        <f t="shared" ca="1" si="2"/>
        <v>-0.44634307893451791</v>
      </c>
      <c r="L13" s="5">
        <f t="shared" ca="1" si="6"/>
        <v>-0.31791886575530642</v>
      </c>
      <c r="M13" s="5">
        <f t="shared" ca="1" si="7"/>
        <v>-0.17232527861084768</v>
      </c>
      <c r="N13" s="5">
        <f t="shared" ca="1" si="8"/>
        <v>0.14559358714445875</v>
      </c>
      <c r="O13" s="5">
        <f ca="1">100*N13</f>
        <v>14.559358714445874</v>
      </c>
      <c r="P13" s="5">
        <f ca="1">POWER(I13-O13,2)/O13</f>
        <v>1.4277930982198974</v>
      </c>
    </row>
    <row r="14" spans="1:20" x14ac:dyDescent="0.25">
      <c r="A14" s="1">
        <v>13</v>
      </c>
      <c r="B14" s="2">
        <f t="shared" ca="1" si="0"/>
        <v>43</v>
      </c>
      <c r="E14" s="2">
        <f t="shared" ca="1" si="3"/>
        <v>45.852216709695661</v>
      </c>
      <c r="F14" s="3">
        <v>4</v>
      </c>
      <c r="G14" s="3">
        <f t="shared" ca="1" si="9"/>
        <v>45.852216709695661</v>
      </c>
      <c r="H14" s="3">
        <f t="shared" ca="1" si="4"/>
        <v>57.802955612927548</v>
      </c>
      <c r="I14" s="4">
        <f ca="1"/>
        <v>11</v>
      </c>
      <c r="J14" s="5">
        <f t="shared" ca="1" si="5"/>
        <v>-0.44634307893451791</v>
      </c>
      <c r="K14" s="5">
        <f t="shared" ca="1" si="2"/>
        <v>1.477634764411629E-2</v>
      </c>
      <c r="L14" s="5">
        <f t="shared" ca="1" si="6"/>
        <v>-0.17232527861084768</v>
      </c>
      <c r="M14" s="5">
        <f t="shared" ca="1" si="7"/>
        <v>5.8946953159632054E-3</v>
      </c>
      <c r="N14" s="5">
        <f t="shared" ca="1" si="8"/>
        <v>0.17821997392681088</v>
      </c>
      <c r="O14" s="5">
        <f ca="1">100*N14</f>
        <v>17.821997392681087</v>
      </c>
      <c r="P14" s="5">
        <f ca="1">POWER(I14-O14,2)/O14</f>
        <v>2.6113598493095878</v>
      </c>
    </row>
    <row r="15" spans="1:20" x14ac:dyDescent="0.25">
      <c r="A15" s="1">
        <v>14</v>
      </c>
      <c r="B15" s="2">
        <f t="shared" ca="1" si="0"/>
        <v>78</v>
      </c>
      <c r="E15" s="2">
        <f t="shared" ca="1" si="3"/>
        <v>57.802955612927548</v>
      </c>
      <c r="F15" s="3">
        <v>5</v>
      </c>
      <c r="G15" s="3">
        <f t="shared" ca="1" si="9"/>
        <v>57.802955612927548</v>
      </c>
      <c r="H15" s="3">
        <f t="shared" ca="1" si="4"/>
        <v>69.753694516159442</v>
      </c>
      <c r="I15" s="4">
        <f ca="1"/>
        <v>18</v>
      </c>
      <c r="J15" s="5">
        <f t="shared" ca="1" si="5"/>
        <v>1.477634764411629E-2</v>
      </c>
      <c r="K15" s="5">
        <f t="shared" ca="1" si="2"/>
        <v>0.47589577422275076</v>
      </c>
      <c r="L15" s="5">
        <f t="shared" ca="1" si="6"/>
        <v>5.8946953159632054E-3</v>
      </c>
      <c r="M15" s="5">
        <f t="shared" ca="1" si="7"/>
        <v>0.18292568355526306</v>
      </c>
      <c r="N15" s="5">
        <f t="shared" ca="1" si="8"/>
        <v>0.17703098823929986</v>
      </c>
      <c r="O15" s="5">
        <f ca="1">100*N15</f>
        <v>17.703098823929984</v>
      </c>
      <c r="P15" s="5">
        <f ca="1">POWER(I15-O15,2)/O15</f>
        <v>4.9793716472170445E-3</v>
      </c>
    </row>
    <row r="16" spans="1:20" x14ac:dyDescent="0.25">
      <c r="A16" s="1">
        <v>15</v>
      </c>
      <c r="B16" s="2">
        <f t="shared" ca="1" si="0"/>
        <v>25</v>
      </c>
      <c r="E16" s="2">
        <f t="shared" ca="1" si="3"/>
        <v>69.753694516159442</v>
      </c>
      <c r="F16" s="3">
        <v>6</v>
      </c>
      <c r="G16" s="3">
        <f t="shared" ca="1" si="9"/>
        <v>69.753694516159442</v>
      </c>
      <c r="H16" s="3">
        <f t="shared" ca="1" si="4"/>
        <v>81.704433419391322</v>
      </c>
      <c r="I16" s="4">
        <f ca="1"/>
        <v>16</v>
      </c>
      <c r="J16" s="5">
        <f t="shared" ca="1" si="5"/>
        <v>0.47589577422275076</v>
      </c>
      <c r="K16" s="5">
        <f t="shared" ca="1" si="2"/>
        <v>0.93701520080138467</v>
      </c>
      <c r="L16" s="5">
        <f t="shared" ca="1" si="6"/>
        <v>0.18292568355526306</v>
      </c>
      <c r="M16" s="5">
        <f t="shared" ca="1" si="7"/>
        <v>0.32562463057383895</v>
      </c>
      <c r="N16" s="5">
        <f t="shared" ca="1" si="8"/>
        <v>0.14269894701857588</v>
      </c>
      <c r="O16" s="5">
        <f ca="1">100*N16</f>
        <v>14.269894701857588</v>
      </c>
      <c r="P16" s="8">
        <f ca="1">POWER(I16-O16,2)/O16</f>
        <v>0.20976078697138498</v>
      </c>
    </row>
    <row r="17" spans="1:16" x14ac:dyDescent="0.25">
      <c r="A17" s="1">
        <v>16</v>
      </c>
      <c r="B17" s="2">
        <f t="shared" ca="1" si="0"/>
        <v>54</v>
      </c>
      <c r="E17" s="2">
        <f t="shared" ca="1" si="3"/>
        <v>81.704433419391322</v>
      </c>
      <c r="F17" s="3">
        <v>7</v>
      </c>
      <c r="G17" s="3">
        <f t="shared" ca="1" si="9"/>
        <v>81.704433419391322</v>
      </c>
      <c r="H17" s="3">
        <f t="shared" ca="1" si="4"/>
        <v>93.655172322623201</v>
      </c>
      <c r="I17" s="4">
        <f ca="1"/>
        <v>12</v>
      </c>
      <c r="J17" s="5">
        <f t="shared" ca="1" si="5"/>
        <v>0.93701520080138467</v>
      </c>
      <c r="K17" s="5">
        <f t="shared" ca="1" si="2"/>
        <v>1.3981346273800186</v>
      </c>
      <c r="L17" s="5">
        <f t="shared" ca="1" si="6"/>
        <v>0.32562463057383895</v>
      </c>
      <c r="M17" s="5">
        <f t="shared" ca="1" si="7"/>
        <v>0.41896367840023141</v>
      </c>
      <c r="N17" s="5">
        <f t="shared" ca="1" si="8"/>
        <v>9.3339047826392463E-2</v>
      </c>
      <c r="O17" s="5">
        <f ca="1">100*N17</f>
        <v>9.3339047826392463</v>
      </c>
      <c r="P17" s="8">
        <f ca="1">POWER(I17-O17,2)/O17</f>
        <v>0.76153162835501043</v>
      </c>
    </row>
    <row r="18" spans="1:16" x14ac:dyDescent="0.25">
      <c r="A18" s="1">
        <v>17</v>
      </c>
      <c r="B18" s="2">
        <f t="shared" ca="1" si="0"/>
        <v>15</v>
      </c>
      <c r="E18" s="2">
        <f t="shared" ca="1" si="3"/>
        <v>93.655172322623201</v>
      </c>
      <c r="F18" s="3">
        <v>8</v>
      </c>
      <c r="G18" s="3">
        <f t="shared" ca="1" si="9"/>
        <v>93.655172322623201</v>
      </c>
      <c r="H18" s="3">
        <f ca="1">L8</f>
        <v>99</v>
      </c>
      <c r="I18" s="4">
        <f ca="1"/>
        <v>14</v>
      </c>
      <c r="J18" s="5">
        <f t="shared" ca="1" si="5"/>
        <v>1.3981346273800186</v>
      </c>
      <c r="K18" s="5">
        <f t="shared" ca="1" si="2"/>
        <v>1.604364877552005</v>
      </c>
      <c r="L18" s="5">
        <f t="shared" ca="1" si="6"/>
        <v>0.41896367840023141</v>
      </c>
      <c r="M18" s="5">
        <f t="shared" ca="1" si="7"/>
        <v>0.44568317593641127</v>
      </c>
      <c r="N18" s="5">
        <f t="shared" ca="1" si="8"/>
        <v>2.6719497536179859E-2</v>
      </c>
      <c r="O18" s="5">
        <f ca="1">100*N18</f>
        <v>2.6719497536179859</v>
      </c>
      <c r="P18" s="5">
        <f ca="1">POWER(I18-O18,2)/O18</f>
        <v>48.026622585546747</v>
      </c>
    </row>
    <row r="19" spans="1:16" x14ac:dyDescent="0.25">
      <c r="A19" s="1">
        <v>18</v>
      </c>
      <c r="B19" s="2">
        <f t="shared" ca="1" si="0"/>
        <v>34</v>
      </c>
      <c r="F19" s="7"/>
      <c r="G19" s="7" t="s">
        <v>13</v>
      </c>
      <c r="H19" s="7"/>
      <c r="I19" s="7">
        <f ca="1">SUM(I11:I18)</f>
        <v>92</v>
      </c>
      <c r="J19" s="7"/>
      <c r="K19" s="7"/>
      <c r="L19" s="7"/>
      <c r="M19" s="7"/>
      <c r="N19" s="9">
        <f ca="1">SUM(N11:N18)</f>
        <v>0.91203587211863391</v>
      </c>
      <c r="O19" s="9">
        <f t="shared" ref="O12:O19" ca="1" si="10">100*N19</f>
        <v>91.203587211863393</v>
      </c>
      <c r="P19" s="9">
        <f t="shared" ref="P12:P19" ca="1" si="11">POWER(I19-O19,2)/O19</f>
        <v>6.9544778719517293E-3</v>
      </c>
    </row>
    <row r="20" spans="1:16" x14ac:dyDescent="0.25">
      <c r="A20" s="1">
        <v>19</v>
      </c>
      <c r="B20" s="2">
        <f t="shared" ca="1" si="0"/>
        <v>16</v>
      </c>
      <c r="E20" s="2"/>
    </row>
    <row r="21" spans="1:16" x14ac:dyDescent="0.25">
      <c r="A21" s="1">
        <v>20</v>
      </c>
      <c r="B21" s="2">
        <f t="shared" ca="1" si="0"/>
        <v>57</v>
      </c>
      <c r="E21" s="2"/>
    </row>
    <row r="22" spans="1:16" x14ac:dyDescent="0.25">
      <c r="A22" s="1">
        <v>21</v>
      </c>
      <c r="B22" s="2">
        <f t="shared" ca="1" si="0"/>
        <v>81</v>
      </c>
    </row>
    <row r="23" spans="1:16" x14ac:dyDescent="0.25">
      <c r="A23" s="1">
        <v>22</v>
      </c>
      <c r="B23" s="2">
        <f t="shared" ca="1" si="0"/>
        <v>48</v>
      </c>
    </row>
    <row r="24" spans="1:16" x14ac:dyDescent="0.25">
      <c r="A24" s="1">
        <v>23</v>
      </c>
      <c r="B24" s="2">
        <f t="shared" ca="1" si="0"/>
        <v>54</v>
      </c>
      <c r="E24" s="2"/>
    </row>
    <row r="25" spans="1:16" x14ac:dyDescent="0.25">
      <c r="A25" s="1">
        <v>24</v>
      </c>
      <c r="B25" s="2">
        <f t="shared" ca="1" si="0"/>
        <v>49</v>
      </c>
      <c r="E25" s="2"/>
    </row>
    <row r="26" spans="1:16" x14ac:dyDescent="0.25">
      <c r="A26" s="1">
        <v>25</v>
      </c>
      <c r="B26" s="2">
        <f t="shared" ca="1" si="0"/>
        <v>19</v>
      </c>
      <c r="E26" s="2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>
        <v>26</v>
      </c>
      <c r="B27" s="2">
        <f t="shared" ca="1" si="0"/>
        <v>12</v>
      </c>
      <c r="E27" s="2"/>
    </row>
    <row r="28" spans="1:16" x14ac:dyDescent="0.25">
      <c r="A28" s="1">
        <v>27</v>
      </c>
      <c r="B28" s="2">
        <f t="shared" ca="1" si="0"/>
        <v>74</v>
      </c>
      <c r="E28" s="2"/>
    </row>
    <row r="29" spans="1:16" x14ac:dyDescent="0.25">
      <c r="A29" s="1">
        <v>28</v>
      </c>
      <c r="B29" s="2">
        <f t="shared" ca="1" si="0"/>
        <v>62</v>
      </c>
      <c r="E29" s="2"/>
    </row>
    <row r="30" spans="1:16" x14ac:dyDescent="0.25">
      <c r="A30" s="1">
        <v>29</v>
      </c>
      <c r="B30" s="2">
        <f t="shared" ca="1" si="0"/>
        <v>54</v>
      </c>
      <c r="E30" s="2"/>
    </row>
    <row r="31" spans="1:16" x14ac:dyDescent="0.25">
      <c r="A31" s="1">
        <v>30</v>
      </c>
      <c r="B31" s="2">
        <f t="shared" ca="1" si="0"/>
        <v>39</v>
      </c>
      <c r="E31" s="2"/>
    </row>
    <row r="32" spans="1:16" x14ac:dyDescent="0.25">
      <c r="A32" s="1">
        <v>31</v>
      </c>
      <c r="B32" s="2">
        <f t="shared" ca="1" si="0"/>
        <v>97</v>
      </c>
      <c r="E32" s="2"/>
    </row>
    <row r="33" spans="1:5" x14ac:dyDescent="0.25">
      <c r="A33" s="1">
        <v>32</v>
      </c>
      <c r="B33" s="2">
        <f t="shared" ca="1" si="0"/>
        <v>90</v>
      </c>
      <c r="E33" s="2"/>
    </row>
    <row r="34" spans="1:5" x14ac:dyDescent="0.25">
      <c r="A34" s="1">
        <v>33</v>
      </c>
      <c r="B34" s="2">
        <f t="shared" ca="1" si="0"/>
        <v>36</v>
      </c>
      <c r="E34" s="2"/>
    </row>
    <row r="35" spans="1:5" x14ac:dyDescent="0.25">
      <c r="A35" s="1">
        <v>34</v>
      </c>
      <c r="B35" s="2">
        <f t="shared" ca="1" si="0"/>
        <v>47</v>
      </c>
      <c r="E35" s="2"/>
    </row>
    <row r="36" spans="1:5" x14ac:dyDescent="0.25">
      <c r="A36" s="1">
        <v>35</v>
      </c>
      <c r="B36" s="2">
        <f t="shared" ca="1" si="0"/>
        <v>34</v>
      </c>
      <c r="E36" s="2"/>
    </row>
    <row r="37" spans="1:5" x14ac:dyDescent="0.25">
      <c r="A37" s="1">
        <v>36</v>
      </c>
      <c r="B37" s="2">
        <f t="shared" ca="1" si="0"/>
        <v>66</v>
      </c>
      <c r="E37" s="2"/>
    </row>
    <row r="38" spans="1:5" x14ac:dyDescent="0.25">
      <c r="A38" s="1">
        <v>37</v>
      </c>
      <c r="B38" s="2">
        <f t="shared" ca="1" si="0"/>
        <v>80</v>
      </c>
      <c r="E38" s="2"/>
    </row>
    <row r="39" spans="1:5" x14ac:dyDescent="0.25">
      <c r="A39" s="1">
        <v>38</v>
      </c>
      <c r="B39" s="2">
        <f t="shared" ca="1" si="0"/>
        <v>53</v>
      </c>
      <c r="E39" s="2"/>
    </row>
    <row r="40" spans="1:5" x14ac:dyDescent="0.25">
      <c r="A40" s="1">
        <v>39</v>
      </c>
      <c r="B40" s="2">
        <f t="shared" ca="1" si="0"/>
        <v>23</v>
      </c>
      <c r="E40" s="2"/>
    </row>
    <row r="41" spans="1:5" x14ac:dyDescent="0.25">
      <c r="A41" s="1">
        <v>40</v>
      </c>
      <c r="B41" s="2">
        <f t="shared" ca="1" si="0"/>
        <v>89</v>
      </c>
      <c r="E41" s="2"/>
    </row>
    <row r="42" spans="1:5" x14ac:dyDescent="0.25">
      <c r="A42" s="1">
        <v>41</v>
      </c>
      <c r="B42" s="2">
        <f t="shared" ca="1" si="0"/>
        <v>67</v>
      </c>
      <c r="E42" s="2"/>
    </row>
    <row r="43" spans="1:5" x14ac:dyDescent="0.25">
      <c r="A43" s="1">
        <v>42</v>
      </c>
      <c r="B43" s="2">
        <f t="shared" ca="1" si="0"/>
        <v>66</v>
      </c>
      <c r="E43" s="2"/>
    </row>
    <row r="44" spans="1:5" x14ac:dyDescent="0.25">
      <c r="A44" s="1">
        <v>43</v>
      </c>
      <c r="B44" s="2">
        <f t="shared" ca="1" si="0"/>
        <v>99</v>
      </c>
      <c r="E44" s="2"/>
    </row>
    <row r="45" spans="1:5" x14ac:dyDescent="0.25">
      <c r="A45" s="1">
        <v>44</v>
      </c>
      <c r="B45" s="2">
        <f t="shared" ca="1" si="0"/>
        <v>12</v>
      </c>
      <c r="E45" s="2"/>
    </row>
    <row r="46" spans="1:5" x14ac:dyDescent="0.25">
      <c r="A46" s="1">
        <v>45</v>
      </c>
      <c r="B46" s="2">
        <f t="shared" ca="1" si="0"/>
        <v>95</v>
      </c>
      <c r="E46" s="2"/>
    </row>
    <row r="47" spans="1:5" x14ac:dyDescent="0.25">
      <c r="A47" s="1">
        <v>46</v>
      </c>
      <c r="B47" s="2">
        <f t="shared" ca="1" si="0"/>
        <v>33</v>
      </c>
      <c r="E47" s="2"/>
    </row>
    <row r="48" spans="1:5" x14ac:dyDescent="0.25">
      <c r="A48" s="1">
        <v>47</v>
      </c>
      <c r="B48" s="2">
        <f t="shared" ca="1" si="0"/>
        <v>48</v>
      </c>
      <c r="E48" s="2"/>
    </row>
    <row r="49" spans="1:5" x14ac:dyDescent="0.25">
      <c r="A49" s="1">
        <v>48</v>
      </c>
      <c r="B49" s="2">
        <f t="shared" ca="1" si="0"/>
        <v>77</v>
      </c>
      <c r="E49" s="2"/>
    </row>
    <row r="50" spans="1:5" x14ac:dyDescent="0.25">
      <c r="A50" s="1">
        <v>49</v>
      </c>
      <c r="B50" s="2">
        <f t="shared" ca="1" si="0"/>
        <v>32</v>
      </c>
      <c r="E50" s="2"/>
    </row>
    <row r="51" spans="1:5" x14ac:dyDescent="0.25">
      <c r="A51" s="1">
        <v>50</v>
      </c>
      <c r="B51" s="2">
        <f t="shared" ca="1" si="0"/>
        <v>31</v>
      </c>
      <c r="E51" s="2"/>
    </row>
    <row r="52" spans="1:5" x14ac:dyDescent="0.25">
      <c r="A52" s="1">
        <v>51</v>
      </c>
      <c r="B52" s="2">
        <f t="shared" ca="1" si="0"/>
        <v>38</v>
      </c>
      <c r="E52" s="2"/>
    </row>
    <row r="53" spans="1:5" x14ac:dyDescent="0.25">
      <c r="A53" s="1">
        <v>52</v>
      </c>
      <c r="B53" s="2">
        <f t="shared" ca="1" si="0"/>
        <v>49</v>
      </c>
      <c r="E53" s="2"/>
    </row>
    <row r="54" spans="1:5" x14ac:dyDescent="0.25">
      <c r="A54" s="1">
        <v>53</v>
      </c>
      <c r="B54" s="2">
        <f t="shared" ca="1" si="0"/>
        <v>93</v>
      </c>
      <c r="E54" s="2"/>
    </row>
    <row r="55" spans="1:5" x14ac:dyDescent="0.25">
      <c r="A55" s="1">
        <v>54</v>
      </c>
      <c r="B55" s="2">
        <f t="shared" ca="1" si="0"/>
        <v>52</v>
      </c>
      <c r="E55" s="2"/>
    </row>
    <row r="56" spans="1:5" x14ac:dyDescent="0.25">
      <c r="A56" s="1">
        <v>55</v>
      </c>
      <c r="B56" s="2">
        <f t="shared" ca="1" si="0"/>
        <v>60</v>
      </c>
      <c r="E56" s="2"/>
    </row>
    <row r="57" spans="1:5" x14ac:dyDescent="0.25">
      <c r="A57" s="1">
        <v>56</v>
      </c>
      <c r="B57" s="2">
        <f t="shared" ca="1" si="0"/>
        <v>19</v>
      </c>
      <c r="E57" s="2"/>
    </row>
    <row r="58" spans="1:5" x14ac:dyDescent="0.25">
      <c r="A58" s="1">
        <v>57</v>
      </c>
      <c r="B58" s="2">
        <f t="shared" ca="1" si="0"/>
        <v>87</v>
      </c>
      <c r="E58" s="2"/>
    </row>
    <row r="59" spans="1:5" x14ac:dyDescent="0.25">
      <c r="A59" s="1">
        <v>58</v>
      </c>
      <c r="B59" s="2">
        <f t="shared" ca="1" si="0"/>
        <v>71</v>
      </c>
      <c r="E59" s="2"/>
    </row>
    <row r="60" spans="1:5" x14ac:dyDescent="0.25">
      <c r="A60" s="1">
        <v>59</v>
      </c>
      <c r="B60" s="2">
        <f t="shared" ca="1" si="0"/>
        <v>69</v>
      </c>
      <c r="E60" s="2"/>
    </row>
    <row r="61" spans="1:5" x14ac:dyDescent="0.25">
      <c r="A61" s="1">
        <v>60</v>
      </c>
      <c r="B61" s="2">
        <f t="shared" ca="1" si="0"/>
        <v>95</v>
      </c>
      <c r="E61" s="2"/>
    </row>
    <row r="62" spans="1:5" x14ac:dyDescent="0.25">
      <c r="A62" s="1">
        <v>61</v>
      </c>
      <c r="B62" s="2">
        <f t="shared" ca="1" si="0"/>
        <v>95</v>
      </c>
      <c r="E62" s="2"/>
    </row>
    <row r="63" spans="1:5" x14ac:dyDescent="0.25">
      <c r="A63" s="1">
        <v>62</v>
      </c>
      <c r="B63" s="2">
        <f t="shared" ca="1" si="0"/>
        <v>87</v>
      </c>
      <c r="E63" s="2"/>
    </row>
    <row r="64" spans="1:5" x14ac:dyDescent="0.25">
      <c r="A64" s="1">
        <v>63</v>
      </c>
      <c r="B64" s="2">
        <f t="shared" ca="1" si="0"/>
        <v>67</v>
      </c>
      <c r="E64" s="2"/>
    </row>
    <row r="65" spans="1:5" x14ac:dyDescent="0.25">
      <c r="A65" s="1">
        <v>64</v>
      </c>
      <c r="B65" s="2">
        <f t="shared" ca="1" si="0"/>
        <v>72</v>
      </c>
      <c r="E65" s="2"/>
    </row>
    <row r="66" spans="1:5" x14ac:dyDescent="0.25">
      <c r="A66" s="1">
        <v>65</v>
      </c>
      <c r="B66" s="2">
        <f t="shared" ca="1" si="0"/>
        <v>26</v>
      </c>
      <c r="E66" s="2"/>
    </row>
    <row r="67" spans="1:5" x14ac:dyDescent="0.25">
      <c r="A67" s="1">
        <v>66</v>
      </c>
      <c r="B67" s="2">
        <f t="shared" ref="B67:B101" ca="1" si="12">RANDBETWEEN(10,99)</f>
        <v>23</v>
      </c>
      <c r="E67" s="2"/>
    </row>
    <row r="68" spans="1:5" x14ac:dyDescent="0.25">
      <c r="A68" s="1">
        <v>67</v>
      </c>
      <c r="B68" s="2">
        <f t="shared" ca="1" si="12"/>
        <v>90</v>
      </c>
      <c r="E68" s="2"/>
    </row>
    <row r="69" spans="1:5" x14ac:dyDescent="0.25">
      <c r="A69" s="1">
        <v>68</v>
      </c>
      <c r="B69" s="2">
        <f t="shared" ca="1" si="12"/>
        <v>55</v>
      </c>
      <c r="E69" s="2"/>
    </row>
    <row r="70" spans="1:5" x14ac:dyDescent="0.25">
      <c r="A70" s="1">
        <v>69</v>
      </c>
      <c r="B70" s="2">
        <f t="shared" ca="1" si="12"/>
        <v>41</v>
      </c>
      <c r="E70" s="2"/>
    </row>
    <row r="71" spans="1:5" x14ac:dyDescent="0.25">
      <c r="A71" s="1">
        <v>70</v>
      </c>
      <c r="B71" s="2">
        <f t="shared" ca="1" si="12"/>
        <v>86</v>
      </c>
      <c r="E71" s="2"/>
    </row>
    <row r="72" spans="1:5" x14ac:dyDescent="0.25">
      <c r="A72" s="1">
        <v>71</v>
      </c>
      <c r="B72" s="2">
        <f t="shared" ca="1" si="12"/>
        <v>72</v>
      </c>
      <c r="E72" s="2"/>
    </row>
    <row r="73" spans="1:5" x14ac:dyDescent="0.25">
      <c r="A73" s="1">
        <v>72</v>
      </c>
      <c r="B73" s="2">
        <f t="shared" ca="1" si="12"/>
        <v>91</v>
      </c>
      <c r="E73" s="2"/>
    </row>
    <row r="74" spans="1:5" x14ac:dyDescent="0.25">
      <c r="A74" s="1">
        <v>73</v>
      </c>
      <c r="B74" s="2">
        <f t="shared" ca="1" si="12"/>
        <v>39</v>
      </c>
      <c r="E74" s="2"/>
    </row>
    <row r="75" spans="1:5" x14ac:dyDescent="0.25">
      <c r="A75" s="1">
        <v>74</v>
      </c>
      <c r="B75" s="2">
        <f t="shared" ca="1" si="12"/>
        <v>29</v>
      </c>
      <c r="E75" s="2"/>
    </row>
    <row r="76" spans="1:5" x14ac:dyDescent="0.25">
      <c r="A76" s="1">
        <v>75</v>
      </c>
      <c r="B76" s="2">
        <f t="shared" ca="1" si="12"/>
        <v>19</v>
      </c>
      <c r="E76" s="2"/>
    </row>
    <row r="77" spans="1:5" x14ac:dyDescent="0.25">
      <c r="A77" s="1">
        <v>76</v>
      </c>
      <c r="B77" s="2">
        <f t="shared" ca="1" si="12"/>
        <v>52</v>
      </c>
      <c r="E77" s="2"/>
    </row>
    <row r="78" spans="1:5" x14ac:dyDescent="0.25">
      <c r="A78" s="1">
        <v>77</v>
      </c>
      <c r="B78" s="2">
        <f t="shared" ca="1" si="12"/>
        <v>39</v>
      </c>
      <c r="E78" s="2"/>
    </row>
    <row r="79" spans="1:5" x14ac:dyDescent="0.25">
      <c r="A79" s="1">
        <v>78</v>
      </c>
      <c r="B79" s="2">
        <f t="shared" ca="1" si="12"/>
        <v>85</v>
      </c>
      <c r="E79" s="2"/>
    </row>
    <row r="80" spans="1:5" x14ac:dyDescent="0.25">
      <c r="A80" s="1">
        <v>79</v>
      </c>
      <c r="B80" s="2">
        <f t="shared" ca="1" si="12"/>
        <v>34</v>
      </c>
      <c r="E80" s="2"/>
    </row>
    <row r="81" spans="1:5" x14ac:dyDescent="0.25">
      <c r="A81" s="1">
        <v>80</v>
      </c>
      <c r="B81" s="2">
        <f t="shared" ca="1" si="12"/>
        <v>80</v>
      </c>
      <c r="E81" s="2"/>
    </row>
    <row r="82" spans="1:5" x14ac:dyDescent="0.25">
      <c r="A82" s="1">
        <v>81</v>
      </c>
      <c r="B82" s="2">
        <f t="shared" ca="1" si="12"/>
        <v>63</v>
      </c>
      <c r="E82" s="2"/>
    </row>
    <row r="83" spans="1:5" x14ac:dyDescent="0.25">
      <c r="A83" s="1">
        <v>82</v>
      </c>
      <c r="B83" s="2">
        <f t="shared" ca="1" si="12"/>
        <v>50</v>
      </c>
      <c r="E83" s="2"/>
    </row>
    <row r="84" spans="1:5" x14ac:dyDescent="0.25">
      <c r="A84" s="1">
        <v>83</v>
      </c>
      <c r="B84" s="2">
        <f t="shared" ca="1" si="12"/>
        <v>69</v>
      </c>
      <c r="E84" s="2"/>
    </row>
    <row r="85" spans="1:5" x14ac:dyDescent="0.25">
      <c r="A85" s="1">
        <v>84</v>
      </c>
      <c r="B85" s="2">
        <f t="shared" ca="1" si="12"/>
        <v>49</v>
      </c>
      <c r="E85" s="2"/>
    </row>
    <row r="86" spans="1:5" x14ac:dyDescent="0.25">
      <c r="A86" s="1">
        <v>85</v>
      </c>
      <c r="B86" s="2">
        <f t="shared" ca="1" si="12"/>
        <v>80</v>
      </c>
      <c r="E86" s="2"/>
    </row>
    <row r="87" spans="1:5" x14ac:dyDescent="0.25">
      <c r="A87" s="1">
        <v>86</v>
      </c>
      <c r="B87" s="2">
        <f t="shared" ca="1" si="12"/>
        <v>20</v>
      </c>
      <c r="E87" s="2"/>
    </row>
    <row r="88" spans="1:5" x14ac:dyDescent="0.25">
      <c r="A88" s="1">
        <v>87</v>
      </c>
      <c r="B88" s="2">
        <f t="shared" ca="1" si="12"/>
        <v>90</v>
      </c>
      <c r="E88" s="2"/>
    </row>
    <row r="89" spans="1:5" x14ac:dyDescent="0.25">
      <c r="A89" s="1">
        <v>88</v>
      </c>
      <c r="B89" s="2">
        <f t="shared" ca="1" si="12"/>
        <v>22</v>
      </c>
      <c r="E89" s="2"/>
    </row>
    <row r="90" spans="1:5" x14ac:dyDescent="0.25">
      <c r="A90" s="1">
        <v>89</v>
      </c>
      <c r="B90" s="2">
        <f t="shared" ca="1" si="12"/>
        <v>80</v>
      </c>
      <c r="E90" s="2"/>
    </row>
    <row r="91" spans="1:5" x14ac:dyDescent="0.25">
      <c r="A91" s="1">
        <v>90</v>
      </c>
      <c r="B91" s="2">
        <f t="shared" ca="1" si="12"/>
        <v>14</v>
      </c>
      <c r="E91" s="2"/>
    </row>
    <row r="92" spans="1:5" x14ac:dyDescent="0.25">
      <c r="A92" s="1">
        <v>91</v>
      </c>
      <c r="B92" s="2">
        <f t="shared" ca="1" si="12"/>
        <v>49</v>
      </c>
      <c r="E92" s="2"/>
    </row>
    <row r="93" spans="1:5" x14ac:dyDescent="0.25">
      <c r="A93" s="1">
        <v>92</v>
      </c>
      <c r="B93" s="2">
        <f t="shared" ca="1" si="12"/>
        <v>60</v>
      </c>
      <c r="E93" s="2"/>
    </row>
    <row r="94" spans="1:5" x14ac:dyDescent="0.25">
      <c r="A94" s="1">
        <v>93</v>
      </c>
      <c r="B94" s="2">
        <f t="shared" ca="1" si="12"/>
        <v>37</v>
      </c>
      <c r="E94" s="2"/>
    </row>
    <row r="95" spans="1:5" x14ac:dyDescent="0.25">
      <c r="A95" s="1">
        <v>94</v>
      </c>
      <c r="B95" s="2">
        <f t="shared" ca="1" si="12"/>
        <v>92</v>
      </c>
      <c r="E95" s="2"/>
    </row>
    <row r="96" spans="1:5" x14ac:dyDescent="0.25">
      <c r="A96" s="1">
        <v>95</v>
      </c>
      <c r="B96" s="2">
        <f t="shared" ca="1" si="12"/>
        <v>95</v>
      </c>
      <c r="E96" s="2"/>
    </row>
    <row r="97" spans="1:5" x14ac:dyDescent="0.25">
      <c r="A97" s="1">
        <v>96</v>
      </c>
      <c r="B97" s="2">
        <f t="shared" ca="1" si="12"/>
        <v>64</v>
      </c>
      <c r="E97" s="2"/>
    </row>
    <row r="98" spans="1:5" x14ac:dyDescent="0.25">
      <c r="A98" s="1">
        <v>97</v>
      </c>
      <c r="B98" s="2">
        <f t="shared" ca="1" si="12"/>
        <v>89</v>
      </c>
      <c r="E98" s="2"/>
    </row>
    <row r="99" spans="1:5" x14ac:dyDescent="0.25">
      <c r="A99" s="1">
        <v>98</v>
      </c>
      <c r="B99" s="2">
        <f t="shared" ca="1" si="12"/>
        <v>59</v>
      </c>
      <c r="E99" s="2"/>
    </row>
    <row r="100" spans="1:5" x14ac:dyDescent="0.25">
      <c r="A100" s="1">
        <v>99</v>
      </c>
      <c r="B100" s="2">
        <f t="shared" ca="1" si="12"/>
        <v>63</v>
      </c>
      <c r="E100" s="2"/>
    </row>
    <row r="101" spans="1:5" x14ac:dyDescent="0.25">
      <c r="A101" s="1">
        <v>100</v>
      </c>
      <c r="B101" s="2">
        <f t="shared" ca="1" si="12"/>
        <v>10</v>
      </c>
      <c r="E101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2021-12-17T11:18:03Z</dcterms:modified>
</cp:coreProperties>
</file>