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0EED7A69-FA1F-4DA6-AD9D-B4549A4312A4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" l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  <c r="B65" i="1"/>
  <c r="C65" i="1"/>
  <c r="B3" i="1"/>
  <c r="B66" i="1"/>
  <c r="C66" i="1"/>
  <c r="B4" i="1"/>
  <c r="B67" i="1"/>
  <c r="C67" i="1"/>
  <c r="B5" i="1"/>
  <c r="B68" i="1"/>
  <c r="C68" i="1"/>
  <c r="B6" i="1"/>
  <c r="B69" i="1"/>
  <c r="C69" i="1"/>
  <c r="B7" i="1"/>
  <c r="B70" i="1"/>
  <c r="C70" i="1"/>
  <c r="B8" i="1"/>
  <c r="B71" i="1"/>
  <c r="C71" i="1"/>
  <c r="B9" i="1"/>
  <c r="B72" i="1"/>
  <c r="C72" i="1"/>
  <c r="B10" i="1"/>
  <c r="B73" i="1"/>
  <c r="C73" i="1"/>
  <c r="B11" i="1"/>
  <c r="B74" i="1"/>
  <c r="C74" i="1"/>
  <c r="B12" i="1"/>
  <c r="B75" i="1"/>
  <c r="C75" i="1"/>
  <c r="B13" i="1"/>
  <c r="B76" i="1"/>
  <c r="C76" i="1"/>
  <c r="B14" i="1"/>
  <c r="B77" i="1"/>
  <c r="C77" i="1"/>
  <c r="B15" i="1"/>
  <c r="B78" i="1"/>
  <c r="C78" i="1"/>
  <c r="B16" i="1"/>
  <c r="B79" i="1"/>
  <c r="C79" i="1"/>
  <c r="B17" i="1"/>
  <c r="B80" i="1"/>
  <c r="C80" i="1"/>
  <c r="B18" i="1"/>
  <c r="B81" i="1"/>
  <c r="C81" i="1"/>
  <c r="B19" i="1"/>
  <c r="B82" i="1"/>
  <c r="C82" i="1"/>
  <c r="B20" i="1"/>
  <c r="B83" i="1"/>
  <c r="C83" i="1"/>
  <c r="B21" i="1"/>
  <c r="B84" i="1"/>
  <c r="C84" i="1"/>
  <c r="B22" i="1"/>
  <c r="B85" i="1"/>
  <c r="C85" i="1"/>
  <c r="B23" i="1"/>
  <c r="B86" i="1"/>
  <c r="C86" i="1"/>
  <c r="B24" i="1"/>
  <c r="B87" i="1"/>
  <c r="C87" i="1"/>
  <c r="B25" i="1"/>
  <c r="B88" i="1"/>
  <c r="C88" i="1"/>
  <c r="B26" i="1"/>
  <c r="B89" i="1"/>
  <c r="C89" i="1"/>
  <c r="B27" i="1"/>
  <c r="B90" i="1"/>
  <c r="C90" i="1"/>
  <c r="B28" i="1"/>
  <c r="B91" i="1"/>
  <c r="C91" i="1"/>
  <c r="B29" i="1"/>
  <c r="B92" i="1"/>
  <c r="C92" i="1"/>
  <c r="B30" i="1"/>
  <c r="B93" i="1"/>
  <c r="C93" i="1"/>
  <c r="B31" i="1"/>
  <c r="B94" i="1"/>
  <c r="C94" i="1"/>
  <c r="B32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2" i="1"/>
  <c r="C64" i="1"/>
  <c r="B64" i="1"/>
</calcChain>
</file>

<file path=xl/sharedStrings.xml><?xml version="1.0" encoding="utf-8"?>
<sst xmlns="http://schemas.openxmlformats.org/spreadsheetml/2006/main" count="5" uniqueCount="4">
  <si>
    <t>x</t>
  </si>
  <si>
    <t>p1 = 0,7</t>
  </si>
  <si>
    <t>p2 = 0,5</t>
  </si>
  <si>
    <t>p3 = 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</si>
</sst>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 = 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Лист1!$B$2:$B$32</c:f>
              <c:numCache>
                <c:formatCode>0.000</c:formatCode>
                <c:ptCount val="31"/>
                <c:pt idx="0">
                  <c:v>1.4272476927059582E-5</c:v>
                </c:pt>
                <c:pt idx="1">
                  <c:v>1.7840596158824487E-4</c:v>
                </c:pt>
                <c:pt idx="2">
                  <c:v>1.0927365147280013E-3</c:v>
                </c:pt>
                <c:pt idx="3">
                  <c:v>4.3709460589120034E-3</c:v>
                </c:pt>
                <c:pt idx="4">
                  <c:v>1.2839654048054015E-2</c:v>
                </c:pt>
                <c:pt idx="5">
                  <c:v>2.9531204310524199E-2</c:v>
                </c:pt>
                <c:pt idx="6">
                  <c:v>5.53710080822329E-2</c:v>
                </c:pt>
                <c:pt idx="7">
                  <c:v>8.7011584129223107E-2</c:v>
                </c:pt>
                <c:pt idx="8">
                  <c:v>0.11692181617364354</c:v>
                </c:pt>
                <c:pt idx="9">
                  <c:v>0.13640878553591748</c:v>
                </c:pt>
                <c:pt idx="10">
                  <c:v>0.13981900517431542</c:v>
                </c:pt>
                <c:pt idx="11">
                  <c:v>0.12710818652210495</c:v>
                </c:pt>
                <c:pt idx="12">
                  <c:v>0.10327540154921026</c:v>
                </c:pt>
                <c:pt idx="13">
                  <c:v>7.547048574749983E-2</c:v>
                </c:pt>
                <c:pt idx="14">
                  <c:v>4.9864428083169536E-2</c:v>
                </c:pt>
                <c:pt idx="15">
                  <c:v>2.9918656849901724E-2</c:v>
                </c:pt>
                <c:pt idx="16">
                  <c:v>1.6361765464789978E-2</c:v>
                </c:pt>
                <c:pt idx="17">
                  <c:v>8.1808827323950027E-3</c:v>
                </c:pt>
                <c:pt idx="18">
                  <c:v>3.749571252347708E-3</c:v>
                </c:pt>
                <c:pt idx="19">
                  <c:v>1.5787668430937724E-3</c:v>
                </c:pt>
                <c:pt idx="20">
                  <c:v>6.1177215169883688E-4</c:v>
                </c:pt>
                <c:pt idx="21">
                  <c:v>2.1849005417815619E-4</c:v>
                </c:pt>
                <c:pt idx="22">
                  <c:v>7.2002404217801246E-5</c:v>
                </c:pt>
                <c:pt idx="23">
                  <c:v>2.1913775196722255E-5</c:v>
                </c:pt>
                <c:pt idx="24">
                  <c:v>6.1632492740781163E-6</c:v>
                </c:pt>
                <c:pt idx="25">
                  <c:v>1.6024448112603061E-6</c:v>
                </c:pt>
                <c:pt idx="26">
                  <c:v>3.8520307962988147E-7</c:v>
                </c:pt>
                <c:pt idx="27">
                  <c:v>8.5600684362195939E-8</c:v>
                </c:pt>
                <c:pt idx="28">
                  <c:v>1.7578711967236712E-8</c:v>
                </c:pt>
                <c:pt idx="29">
                  <c:v>3.3338936489586804E-9</c:v>
                </c:pt>
                <c:pt idx="30">
                  <c:v>5.834313885677679E-10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8-4A99-9C1B-91DED885EDC5}"/>
            </c:ext>
          </c:extLst>
        </c:ser>
        <c:ser>
          <c:idx val="1"/>
          <c:order val="1"/>
          <c:tx>
            <c:v>n = 30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Лист1!$C$2:$C$32</c:f>
              <c:numCache>
                <c:formatCode>0.000</c:formatCode>
                <c:ptCount val="31"/>
                <c:pt idx="0">
                  <c:v>1.2379400392853797E-3</c:v>
                </c:pt>
                <c:pt idx="1">
                  <c:v>9.2845502946403528E-3</c:v>
                </c:pt>
                <c:pt idx="2">
                  <c:v>3.3656494818071314E-2</c:v>
                </c:pt>
                <c:pt idx="3">
                  <c:v>7.8531821242166289E-2</c:v>
                </c:pt>
                <c:pt idx="4">
                  <c:v>0.13252244834615567</c:v>
                </c:pt>
                <c:pt idx="5">
                  <c:v>0.17227918285000238</c:v>
                </c:pt>
                <c:pt idx="6">
                  <c:v>0.17945748213541912</c:v>
                </c:pt>
                <c:pt idx="7">
                  <c:v>0.1538206989732164</c:v>
                </c:pt>
                <c:pt idx="8">
                  <c:v>0.11055862738699927</c:v>
                </c:pt>
                <c:pt idx="9">
                  <c:v>6.7563605625388448E-2</c:v>
                </c:pt>
                <c:pt idx="10">
                  <c:v>3.547089295332892E-2</c:v>
                </c:pt>
                <c:pt idx="11">
                  <c:v>1.6123133160604059E-2</c:v>
                </c:pt>
                <c:pt idx="12">
                  <c:v>6.3820735427391091E-3</c:v>
                </c:pt>
                <c:pt idx="13">
                  <c:v>2.2091793032558479E-3</c:v>
                </c:pt>
                <c:pt idx="14">
                  <c:v>6.7064371705980895E-4</c:v>
                </c:pt>
                <c:pt idx="15">
                  <c:v>1.7883832454928267E-4</c:v>
                </c:pt>
                <c:pt idx="16">
                  <c:v>4.1915232316238079E-5</c:v>
                </c:pt>
                <c:pt idx="17">
                  <c:v>8.629606653343132E-6</c:v>
                </c:pt>
                <c:pt idx="18">
                  <c:v>1.5581234235202888E-6</c:v>
                </c:pt>
                <c:pt idx="19">
                  <c:v>2.4601948792425701E-7</c:v>
                </c:pt>
                <c:pt idx="20">
                  <c:v>3.3827679589585188E-8</c:v>
                </c:pt>
                <c:pt idx="21">
                  <c:v>4.0271047130458639E-9</c:v>
                </c:pt>
                <c:pt idx="22">
                  <c:v>4.1186298201605381E-10</c:v>
                </c:pt>
                <c:pt idx="23">
                  <c:v>3.5814172349222001E-11</c:v>
                </c:pt>
                <c:pt idx="24">
                  <c:v>2.611450067130777E-12</c:v>
                </c:pt>
                <c:pt idx="25">
                  <c:v>1.5668700402784668E-13</c:v>
                </c:pt>
                <c:pt idx="26">
                  <c:v>7.5330290398003167E-15</c:v>
                </c:pt>
                <c:pt idx="27">
                  <c:v>2.7900107554815879E-16</c:v>
                </c:pt>
                <c:pt idx="28">
                  <c:v>7.4732430950400238E-18</c:v>
                </c:pt>
                <c:pt idx="29">
                  <c:v>1.2884901888000102E-19</c:v>
                </c:pt>
                <c:pt idx="30">
                  <c:v>1.0737418240000016E-21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8-4A99-9C1B-91DED885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046072"/>
        <c:axId val="460041480"/>
      </c:barChart>
      <c:catAx>
        <c:axId val="460046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041480"/>
        <c:crosses val="autoZero"/>
        <c:auto val="1"/>
        <c:lblAlgn val="ctr"/>
        <c:lblOffset val="100"/>
        <c:noMultiLvlLbl val="0"/>
      </c:catAx>
      <c:valAx>
        <c:axId val="46004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04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242887</xdr:colOff>
      <xdr:row>7</xdr:row>
      <xdr:rowOff>71437</xdr:rowOff>
    </xdr:from>
    <xdr:to>
      <xdr:col>22</xdr:col>
      <xdr:colOff>466725</xdr:colOff>
      <xdr:row>21</xdr:row>
      <xdr:rowOff>147637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719693-BD75-40EC-9D9B-149F2852A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zoomScaleNormal="100" workbookViewId="0">
      <selection activeCell="G14" sqref="G14"/>
    </sheetView>
  </sheetViews>
  <sheetFormatPr defaultRowHeight="15" x14ac:dyDescent="0.25"/>
  <cols>
    <col min="2" max="2" width="12" bestFit="1" customWidth="1"/>
  </cols>
  <sheetData>
    <row r="1" spans="1:3" x14ac:dyDescent="0.25">
      <c r="A1" s="1" t="s">
        <v>0</v>
      </c>
      <c r="B1" s="1" t="s">
        <v>3</v>
      </c>
      <c r="C1" t="s">
        <v>3</v>
      </c>
    </row>
    <row r="2" spans="1:3" x14ac:dyDescent="0.25">
      <c r="A2" s="1">
        <v>0</v>
      </c>
      <c r="B2" s="3">
        <f xml:space="preserve"> _xlfn.BINOM.DIST(A2,50,0.2,0)</f>
        <v>1.4272476927059582E-5</v>
      </c>
      <c r="C2" s="3">
        <f xml:space="preserve"> _xlfn.BINOM.DIST(A2,30,0.2,0)</f>
        <v>1.2379400392853797E-3</v>
      </c>
    </row>
    <row r="3" spans="1:3" x14ac:dyDescent="0.25">
      <c r="A3" s="1">
        <v>1</v>
      </c>
      <c r="B3" s="3">
        <f xml:space="preserve"> _xlfn.BINOM.DIST(A3,50,0.2,0)</f>
        <v>1.7840596158824487E-4</v>
      </c>
      <c r="C3" s="3">
        <f t="shared" ref="C3:C32" si="0" xml:space="preserve"> _xlfn.BINOM.DIST(A3,30,0.2,0)</f>
        <v>9.2845502946403528E-3</v>
      </c>
    </row>
    <row r="4" spans="1:3" x14ac:dyDescent="0.25">
      <c r="A4" s="1">
        <v>2</v>
      </c>
      <c r="B4" s="3">
        <f xml:space="preserve"> _xlfn.BINOM.DIST(A4,50,0.2,0)</f>
        <v>1.0927365147280013E-3</v>
      </c>
      <c r="C4" s="3">
        <f t="shared" si="0"/>
        <v>3.3656494818071314E-2</v>
      </c>
    </row>
    <row r="5" spans="1:3" x14ac:dyDescent="0.25">
      <c r="A5" s="1">
        <v>3</v>
      </c>
      <c r="B5" s="3">
        <f xml:space="preserve"> _xlfn.BINOM.DIST(A5,50,0.2,0)</f>
        <v>4.3709460589120034E-3</v>
      </c>
      <c r="C5" s="3">
        <f t="shared" si="0"/>
        <v>7.8531821242166289E-2</v>
      </c>
    </row>
    <row r="6" spans="1:3" x14ac:dyDescent="0.25">
      <c r="A6" s="1">
        <v>4</v>
      </c>
      <c r="B6" s="3">
        <f xml:space="preserve"> _xlfn.BINOM.DIST(A6,50,0.2,0)</f>
        <v>1.2839654048054015E-2</v>
      </c>
      <c r="C6" s="3">
        <f t="shared" si="0"/>
        <v>0.13252244834615567</v>
      </c>
    </row>
    <row r="7" spans="1:3" x14ac:dyDescent="0.25">
      <c r="A7" s="1">
        <v>5</v>
      </c>
      <c r="B7" s="3">
        <f xml:space="preserve"> _xlfn.BINOM.DIST(A7,50,0.2,0)</f>
        <v>2.9531204310524199E-2</v>
      </c>
      <c r="C7" s="3">
        <f t="shared" si="0"/>
        <v>0.17227918285000238</v>
      </c>
    </row>
    <row r="8" spans="1:3" x14ac:dyDescent="0.25">
      <c r="A8" s="1">
        <v>6</v>
      </c>
      <c r="B8" s="3">
        <f xml:space="preserve"> _xlfn.BINOM.DIST(A8,50,0.2,0)</f>
        <v>5.53710080822329E-2</v>
      </c>
      <c r="C8" s="3">
        <f t="shared" si="0"/>
        <v>0.17945748213541912</v>
      </c>
    </row>
    <row r="9" spans="1:3" x14ac:dyDescent="0.25">
      <c r="A9" s="1">
        <v>7</v>
      </c>
      <c r="B9" s="3">
        <f xml:space="preserve"> _xlfn.BINOM.DIST(A9,50,0.2,0)</f>
        <v>8.7011584129223107E-2</v>
      </c>
      <c r="C9" s="3">
        <f t="shared" si="0"/>
        <v>0.1538206989732164</v>
      </c>
    </row>
    <row r="10" spans="1:3" x14ac:dyDescent="0.25">
      <c r="A10" s="1">
        <v>8</v>
      </c>
      <c r="B10" s="3">
        <f xml:space="preserve"> _xlfn.BINOM.DIST(A10,50,0.2,0)</f>
        <v>0.11692181617364354</v>
      </c>
      <c r="C10" s="3">
        <f t="shared" si="0"/>
        <v>0.11055862738699927</v>
      </c>
    </row>
    <row r="11" spans="1:3" x14ac:dyDescent="0.25">
      <c r="A11" s="1">
        <v>9</v>
      </c>
      <c r="B11" s="3">
        <f xml:space="preserve"> _xlfn.BINOM.DIST(A11,50,0.2,0)</f>
        <v>0.13640878553591748</v>
      </c>
      <c r="C11" s="3">
        <f t="shared" si="0"/>
        <v>6.7563605625388448E-2</v>
      </c>
    </row>
    <row r="12" spans="1:3" x14ac:dyDescent="0.25">
      <c r="A12" s="1">
        <v>10</v>
      </c>
      <c r="B12" s="3">
        <f xml:space="preserve"> _xlfn.BINOM.DIST(A12,50,0.2,0)</f>
        <v>0.13981900517431542</v>
      </c>
      <c r="C12" s="3">
        <f t="shared" si="0"/>
        <v>3.547089295332892E-2</v>
      </c>
    </row>
    <row r="13" spans="1:3" x14ac:dyDescent="0.25">
      <c r="A13" s="1">
        <v>11</v>
      </c>
      <c r="B13" s="3">
        <f xml:space="preserve"> _xlfn.BINOM.DIST(A13,50,0.2,0)</f>
        <v>0.12710818652210495</v>
      </c>
      <c r="C13" s="3">
        <f t="shared" si="0"/>
        <v>1.6123133160604059E-2</v>
      </c>
    </row>
    <row r="14" spans="1:3" x14ac:dyDescent="0.25">
      <c r="A14" s="1">
        <v>12</v>
      </c>
      <c r="B14" s="3">
        <f xml:space="preserve"> _xlfn.BINOM.DIST(A14,50,0.2,0)</f>
        <v>0.10327540154921026</v>
      </c>
      <c r="C14" s="3">
        <f t="shared" si="0"/>
        <v>6.3820735427391091E-3</v>
      </c>
    </row>
    <row r="15" spans="1:3" x14ac:dyDescent="0.25">
      <c r="A15" s="1">
        <v>13</v>
      </c>
      <c r="B15" s="3">
        <f xml:space="preserve"> _xlfn.BINOM.DIST(A15,50,0.2,0)</f>
        <v>7.547048574749983E-2</v>
      </c>
      <c r="C15" s="3">
        <f t="shared" si="0"/>
        <v>2.2091793032558479E-3</v>
      </c>
    </row>
    <row r="16" spans="1:3" x14ac:dyDescent="0.25">
      <c r="A16" s="1">
        <v>14</v>
      </c>
      <c r="B16" s="3">
        <f xml:space="preserve"> _xlfn.BINOM.DIST(A16,50,0.2,0)</f>
        <v>4.9864428083169536E-2</v>
      </c>
      <c r="C16" s="3">
        <f t="shared" si="0"/>
        <v>6.7064371705980895E-4</v>
      </c>
    </row>
    <row r="17" spans="1:3" x14ac:dyDescent="0.25">
      <c r="A17" s="1">
        <v>15</v>
      </c>
      <c r="B17" s="3">
        <f xml:space="preserve"> _xlfn.BINOM.DIST(A17,50,0.2,0)</f>
        <v>2.9918656849901724E-2</v>
      </c>
      <c r="C17" s="3">
        <f t="shared" si="0"/>
        <v>1.7883832454928267E-4</v>
      </c>
    </row>
    <row r="18" spans="1:3" x14ac:dyDescent="0.25">
      <c r="A18" s="1">
        <v>16</v>
      </c>
      <c r="B18" s="3">
        <f xml:space="preserve"> _xlfn.BINOM.DIST(A18,50,0.2,0)</f>
        <v>1.6361765464789978E-2</v>
      </c>
      <c r="C18" s="3">
        <f t="shared" si="0"/>
        <v>4.1915232316238079E-5</v>
      </c>
    </row>
    <row r="19" spans="1:3" x14ac:dyDescent="0.25">
      <c r="A19" s="1">
        <v>17</v>
      </c>
      <c r="B19" s="3">
        <f xml:space="preserve"> _xlfn.BINOM.DIST(A19,50,0.2,0)</f>
        <v>8.1808827323950027E-3</v>
      </c>
      <c r="C19" s="3">
        <f t="shared" si="0"/>
        <v>8.629606653343132E-6</v>
      </c>
    </row>
    <row r="20" spans="1:3" x14ac:dyDescent="0.25">
      <c r="A20" s="1">
        <v>18</v>
      </c>
      <c r="B20" s="3">
        <f xml:space="preserve"> _xlfn.BINOM.DIST(A20,50,0.2,0)</f>
        <v>3.749571252347708E-3</v>
      </c>
      <c r="C20" s="3">
        <f t="shared" si="0"/>
        <v>1.5581234235202888E-6</v>
      </c>
    </row>
    <row r="21" spans="1:3" x14ac:dyDescent="0.25">
      <c r="A21" s="1">
        <v>19</v>
      </c>
      <c r="B21" s="3">
        <f xml:space="preserve"> _xlfn.BINOM.DIST(A21,50,0.2,0)</f>
        <v>1.5787668430937724E-3</v>
      </c>
      <c r="C21" s="3">
        <f t="shared" si="0"/>
        <v>2.4601948792425701E-7</v>
      </c>
    </row>
    <row r="22" spans="1:3" x14ac:dyDescent="0.25">
      <c r="A22" s="1">
        <v>20</v>
      </c>
      <c r="B22" s="3">
        <f xml:space="preserve"> _xlfn.BINOM.DIST(A22,50,0.2,0)</f>
        <v>6.1177215169883688E-4</v>
      </c>
      <c r="C22" s="3">
        <f t="shared" si="0"/>
        <v>3.3827679589585188E-8</v>
      </c>
    </row>
    <row r="23" spans="1:3" x14ac:dyDescent="0.25">
      <c r="A23" s="1">
        <v>21</v>
      </c>
      <c r="B23" s="3">
        <f xml:space="preserve"> _xlfn.BINOM.DIST(A23,50,0.2,0)</f>
        <v>2.1849005417815619E-4</v>
      </c>
      <c r="C23" s="3">
        <f t="shared" si="0"/>
        <v>4.0271047130458639E-9</v>
      </c>
    </row>
    <row r="24" spans="1:3" x14ac:dyDescent="0.25">
      <c r="A24" s="1">
        <v>22</v>
      </c>
      <c r="B24" s="3">
        <f xml:space="preserve"> _xlfn.BINOM.DIST(A24,50,0.2,0)</f>
        <v>7.2002404217801246E-5</v>
      </c>
      <c r="C24" s="3">
        <f t="shared" si="0"/>
        <v>4.1186298201605381E-10</v>
      </c>
    </row>
    <row r="25" spans="1:3" x14ac:dyDescent="0.25">
      <c r="A25" s="1">
        <v>23</v>
      </c>
      <c r="B25" s="3">
        <f xml:space="preserve"> _xlfn.BINOM.DIST(A25,50,0.2,0)</f>
        <v>2.1913775196722255E-5</v>
      </c>
      <c r="C25" s="3">
        <f t="shared" si="0"/>
        <v>3.5814172349222001E-11</v>
      </c>
    </row>
    <row r="26" spans="1:3" x14ac:dyDescent="0.25">
      <c r="A26" s="1">
        <v>24</v>
      </c>
      <c r="B26" s="3">
        <f xml:space="preserve"> _xlfn.BINOM.DIST(A26,50,0.2,0)</f>
        <v>6.1632492740781163E-6</v>
      </c>
      <c r="C26" s="3">
        <f t="shared" si="0"/>
        <v>2.611450067130777E-12</v>
      </c>
    </row>
    <row r="27" spans="1:3" x14ac:dyDescent="0.25">
      <c r="A27" s="1">
        <v>25</v>
      </c>
      <c r="B27" s="3">
        <f xml:space="preserve"> _xlfn.BINOM.DIST(A27,50,0.2,0)</f>
        <v>1.6024448112603061E-6</v>
      </c>
      <c r="C27" s="3">
        <f t="shared" si="0"/>
        <v>1.5668700402784668E-13</v>
      </c>
    </row>
    <row r="28" spans="1:3" x14ac:dyDescent="0.25">
      <c r="A28" s="1">
        <v>26</v>
      </c>
      <c r="B28" s="3">
        <f xml:space="preserve"> _xlfn.BINOM.DIST(A28,50,0.2,0)</f>
        <v>3.8520307962988147E-7</v>
      </c>
      <c r="C28" s="3">
        <f t="shared" si="0"/>
        <v>7.5330290398003167E-15</v>
      </c>
    </row>
    <row r="29" spans="1:3" x14ac:dyDescent="0.25">
      <c r="A29" s="1">
        <v>27</v>
      </c>
      <c r="B29" s="3">
        <f xml:space="preserve"> _xlfn.BINOM.DIST(A29,50,0.2,0)</f>
        <v>8.5600684362195939E-8</v>
      </c>
      <c r="C29" s="3">
        <f t="shared" si="0"/>
        <v>2.7900107554815879E-16</v>
      </c>
    </row>
    <row r="30" spans="1:3" x14ac:dyDescent="0.25">
      <c r="A30" s="1">
        <v>28</v>
      </c>
      <c r="B30" s="3">
        <f xml:space="preserve"> _xlfn.BINOM.DIST(A30,50,0.2,0)</f>
        <v>1.7578711967236712E-8</v>
      </c>
      <c r="C30" s="3">
        <f t="shared" si="0"/>
        <v>7.4732430950400238E-18</v>
      </c>
    </row>
    <row r="31" spans="1:3" x14ac:dyDescent="0.25">
      <c r="A31" s="1">
        <v>29</v>
      </c>
      <c r="B31" s="3">
        <f xml:space="preserve"> _xlfn.BINOM.DIST(A31,50,0.2,0)</f>
        <v>3.3338936489586804E-9</v>
      </c>
      <c r="C31" s="3">
        <f t="shared" si="0"/>
        <v>1.2884901888000102E-19</v>
      </c>
    </row>
    <row r="32" spans="1:3" x14ac:dyDescent="0.25">
      <c r="A32" s="1">
        <v>30</v>
      </c>
      <c r="B32" s="3">
        <f xml:space="preserve"> _xlfn.BINOM.DIST(A32,50,0.2,0)</f>
        <v>5.834313885677679E-10</v>
      </c>
      <c r="C32" s="3">
        <f t="shared" si="0"/>
        <v>1.0737418240000016E-21</v>
      </c>
    </row>
    <row r="33" spans="1:2" x14ac:dyDescent="0.25">
      <c r="A33" s="1">
        <v>31</v>
      </c>
      <c r="B33" s="3">
        <f xml:space="preserve"> _xlfn.BINOM.DIST(A33,50,0.2,0)</f>
        <v>9.4101836865768811E-11</v>
      </c>
    </row>
    <row r="34" spans="1:2" x14ac:dyDescent="0.25">
      <c r="A34" s="1">
        <v>32</v>
      </c>
      <c r="B34" s="3">
        <f xml:space="preserve"> _xlfn.BINOM.DIST(A34,50,0.2,0)</f>
        <v>1.3968241409762566E-11</v>
      </c>
    </row>
    <row r="35" spans="1:2" x14ac:dyDescent="0.25">
      <c r="A35" s="1">
        <v>33</v>
      </c>
      <c r="B35" s="3">
        <f xml:space="preserve"> _xlfn.BINOM.DIST(A35,50,0.2,0)</f>
        <v>1.9047601922403541E-12</v>
      </c>
    </row>
    <row r="36" spans="1:2" x14ac:dyDescent="0.25">
      <c r="A36" s="1">
        <v>34</v>
      </c>
      <c r="B36" s="3">
        <f xml:space="preserve"> _xlfn.BINOM.DIST(A36,50,0.2,0)</f>
        <v>2.3809502403004492E-13</v>
      </c>
    </row>
    <row r="37" spans="1:2" x14ac:dyDescent="0.25">
      <c r="A37" s="1">
        <v>35</v>
      </c>
      <c r="B37" s="3">
        <f xml:space="preserve"> _xlfn.BINOM.DIST(A37,50,0.2,0)</f>
        <v>2.7210859889147774E-14</v>
      </c>
    </row>
    <row r="38" spans="1:2" x14ac:dyDescent="0.25">
      <c r="A38" s="1">
        <v>36</v>
      </c>
      <c r="B38" s="3">
        <f xml:space="preserve"> _xlfn.BINOM.DIST(A38,50,0.2,0)</f>
        <v>2.8344645717862579E-15</v>
      </c>
    </row>
    <row r="39" spans="1:2" x14ac:dyDescent="0.25">
      <c r="A39" s="1">
        <v>37</v>
      </c>
      <c r="B39" s="3">
        <f xml:space="preserve"> _xlfn.BINOM.DIST(A39,50,0.2,0)</f>
        <v>2.6812502706085961E-16</v>
      </c>
    </row>
    <row r="40" spans="1:2" x14ac:dyDescent="0.25">
      <c r="A40" s="1">
        <v>38</v>
      </c>
      <c r="B40" s="3">
        <f xml:space="preserve"> _xlfn.BINOM.DIST(A40,50,0.2,0)</f>
        <v>2.2931745735468461E-17</v>
      </c>
    </row>
    <row r="41" spans="1:2" x14ac:dyDescent="0.25">
      <c r="A41" s="1">
        <v>39</v>
      </c>
      <c r="B41" s="3">
        <f xml:space="preserve"> _xlfn.BINOM.DIST(A41,50,0.2,0)</f>
        <v>1.7639804411898832E-18</v>
      </c>
    </row>
    <row r="42" spans="1:2" x14ac:dyDescent="0.25">
      <c r="A42" s="1">
        <v>40</v>
      </c>
      <c r="B42" s="3">
        <f xml:space="preserve"> _xlfn.BINOM.DIST(A42,50,0.2,0)</f>
        <v>1.212736553318041E-19</v>
      </c>
    </row>
    <row r="43" spans="1:2" x14ac:dyDescent="0.25">
      <c r="A43" s="1">
        <v>41</v>
      </c>
      <c r="B43" s="3">
        <f xml:space="preserve"> _xlfn.BINOM.DIST(A43,50,0.2,0)</f>
        <v>7.394735081207581E-21</v>
      </c>
    </row>
    <row r="44" spans="1:2" x14ac:dyDescent="0.25">
      <c r="A44" s="1">
        <v>42</v>
      </c>
      <c r="B44" s="3">
        <f xml:space="preserve"> _xlfn.BINOM.DIST(A44,50,0.2,0)</f>
        <v>3.9614652220754442E-22</v>
      </c>
    </row>
    <row r="45" spans="1:2" x14ac:dyDescent="0.25">
      <c r="A45" s="1">
        <v>43</v>
      </c>
      <c r="B45" s="3">
        <f xml:space="preserve"> _xlfn.BINOM.DIST(A45,50,0.2,0)</f>
        <v>1.8425419637560397E-23</v>
      </c>
    </row>
    <row r="46" spans="1:2" x14ac:dyDescent="0.25">
      <c r="A46" s="1">
        <v>44</v>
      </c>
      <c r="B46" s="3">
        <f xml:space="preserve"> _xlfn.BINOM.DIST(A46,50,0.2,0)</f>
        <v>7.3282919013024146E-25</v>
      </c>
    </row>
    <row r="47" spans="1:2" x14ac:dyDescent="0.25">
      <c r="A47" s="1">
        <v>45</v>
      </c>
      <c r="B47" s="3">
        <f xml:space="preserve"> _xlfn.BINOM.DIST(A47,50,0.2,0)</f>
        <v>2.4427639671008029E-26</v>
      </c>
    </row>
    <row r="48" spans="1:2" x14ac:dyDescent="0.25">
      <c r="A48" s="1">
        <v>46</v>
      </c>
      <c r="B48" s="3">
        <f xml:space="preserve"> _xlfn.BINOM.DIST(A48,50,0.2,0)</f>
        <v>6.6379455627738944E-28</v>
      </c>
    </row>
    <row r="49" spans="1:3" x14ac:dyDescent="0.25">
      <c r="A49" s="1">
        <v>47</v>
      </c>
      <c r="B49" s="3">
        <f xml:space="preserve"> _xlfn.BINOM.DIST(A49,50,0.2,0)</f>
        <v>1.4123288431433983E-29</v>
      </c>
    </row>
    <row r="50" spans="1:3" x14ac:dyDescent="0.25">
      <c r="A50" s="1">
        <v>48</v>
      </c>
      <c r="B50" s="3">
        <f xml:space="preserve"> _xlfn.BINOM.DIST(A50,50,0.2,0)</f>
        <v>2.2067638174115406E-31</v>
      </c>
    </row>
    <row r="51" spans="1:3" x14ac:dyDescent="0.25">
      <c r="A51" s="1">
        <v>49</v>
      </c>
      <c r="B51" s="3">
        <f xml:space="preserve"> _xlfn.BINOM.DIST(A51,50,0.2,0)</f>
        <v>2.2517998136852455E-33</v>
      </c>
    </row>
    <row r="52" spans="1:3" x14ac:dyDescent="0.25">
      <c r="A52" s="1">
        <v>50</v>
      </c>
      <c r="B52" s="3">
        <f xml:space="preserve"> _xlfn.BINOM.DIST(A52,50,0.2,0)</f>
        <v>1.1258999068426267E-35</v>
      </c>
    </row>
    <row r="63" spans="1:3" x14ac:dyDescent="0.25">
      <c r="B63" t="s">
        <v>1</v>
      </c>
      <c r="C63" t="s">
        <v>2</v>
      </c>
    </row>
    <row r="64" spans="1:3" x14ac:dyDescent="0.25">
      <c r="B64" s="2">
        <f>_xlfn.BINOM.DIST(A2,50,0.7,)</f>
        <v>7.1789798769185605E-27</v>
      </c>
      <c r="C64" s="2">
        <f>_xlfn.BINOM.DIST(A2,50,0.5,0)</f>
        <v>8.8817841970012444E-16</v>
      </c>
    </row>
    <row r="65" spans="2:3" x14ac:dyDescent="0.25">
      <c r="B65" s="2">
        <f>_xlfn.BINOM.DIST(A3,50,0.7,)</f>
        <v>8.3754765230716886E-25</v>
      </c>
      <c r="C65" s="2">
        <f>_xlfn.BINOM.DIST(A3,50,0.5,0)</f>
        <v>4.4408920985006533E-14</v>
      </c>
    </row>
    <row r="66" spans="2:3" x14ac:dyDescent="0.25">
      <c r="B66" s="2">
        <f>_xlfn.BINOM.DIST(A4,50,0.7,)</f>
        <v>4.7879807456892837E-23</v>
      </c>
      <c r="C66" s="2">
        <f>_xlfn.BINOM.DIST(A4,50,0.5,0)</f>
        <v>1.0880185641326522E-12</v>
      </c>
    </row>
    <row r="67" spans="2:3" x14ac:dyDescent="0.25">
      <c r="B67" s="2">
        <f>_xlfn.BINOM.DIST(A5,50,0.7,)</f>
        <v>1.7875128117240029E-21</v>
      </c>
      <c r="C67" s="2">
        <f>_xlfn.BINOM.DIST(A5,50,0.5,0)</f>
        <v>1.7408297026122522E-11</v>
      </c>
    </row>
    <row r="68" spans="2:3" x14ac:dyDescent="0.25">
      <c r="B68" s="2">
        <f>_xlfn.BINOM.DIST(A6,50,0.7,)</f>
        <v>4.9007642921433236E-20</v>
      </c>
      <c r="C68" s="2">
        <f>_xlfn.BINOM.DIST(A6,50,0.5,0)</f>
        <v>2.0454749005693866E-10</v>
      </c>
    </row>
    <row r="69" spans="2:3" x14ac:dyDescent="0.25">
      <c r="B69" s="2">
        <f>_xlfn.BINOM.DIST(A7,50,0.7,)</f>
        <v>1.0520307347134309E-18</v>
      </c>
      <c r="C69" s="2">
        <f>_xlfn.BINOM.DIST(A7,50,0.5,0)</f>
        <v>1.8818369085238295E-9</v>
      </c>
    </row>
    <row r="70" spans="2:3" x14ac:dyDescent="0.25">
      <c r="B70" s="2">
        <f>_xlfn.BINOM.DIST(A8,50,0.7,)</f>
        <v>1.8410537857485195E-17</v>
      </c>
      <c r="C70" s="2">
        <f>_xlfn.BINOM.DIST(A8,50,0.5,0)</f>
        <v>1.411377681392873E-8</v>
      </c>
    </row>
    <row r="71" spans="2:3" x14ac:dyDescent="0.25">
      <c r="B71" s="2">
        <f>_xlfn.BINOM.DIST(A9,50,0.7,)</f>
        <v>2.7002122190977972E-16</v>
      </c>
      <c r="C71" s="2">
        <f>_xlfn.BINOM.DIST(A9,50,0.5,0)</f>
        <v>8.8715168544695043E-8</v>
      </c>
    </row>
    <row r="72" spans="2:3" x14ac:dyDescent="0.25">
      <c r="B72" s="2">
        <f>_xlfn.BINOM.DIST(A10,50,0.7,)</f>
        <v>3.3865161581185028E-15</v>
      </c>
      <c r="C72" s="2">
        <f>_xlfn.BINOM.DIST(A10,50,0.5,0)</f>
        <v>4.7684403092773685E-7</v>
      </c>
    </row>
    <row r="73" spans="2:3" x14ac:dyDescent="0.25">
      <c r="B73" s="2">
        <f>_xlfn.BINOM.DIST(A11,50,0.7,)</f>
        <v>3.6875398166179177E-14</v>
      </c>
      <c r="C73" s="2">
        <f>_xlfn.BINOM.DIST(A11,50,0.5,0)</f>
        <v>2.225272144329444E-6</v>
      </c>
    </row>
    <row r="74" spans="2:3" x14ac:dyDescent="0.25">
      <c r="B74" s="2">
        <f>_xlfn.BINOM.DIST(A12,50,0.7,)</f>
        <v>3.5277464245644692E-13</v>
      </c>
      <c r="C74" s="2">
        <f>_xlfn.BINOM.DIST(A12,50,0.5,0)</f>
        <v>9.1236157917506673E-6</v>
      </c>
    </row>
    <row r="75" spans="2:3" x14ac:dyDescent="0.25">
      <c r="B75" s="2">
        <f>_xlfn.BINOM.DIST(A13,50,0.7,)</f>
        <v>2.9932393905395603E-12</v>
      </c>
      <c r="C75" s="2">
        <f>_xlfn.BINOM.DIST(A13,50,0.5,0)</f>
        <v>3.3176784697275137E-5</v>
      </c>
    </row>
    <row r="76" spans="2:3" x14ac:dyDescent="0.25">
      <c r="B76" s="2">
        <f>_xlfn.BINOM.DIST(A14,50,0.7,)</f>
        <v>2.269873204492483E-11</v>
      </c>
      <c r="C76" s="2">
        <f>_xlfn.BINOM.DIST(A14,50,0.5,0)</f>
        <v>1.0782455026614464E-4</v>
      </c>
    </row>
    <row r="77" spans="2:3" x14ac:dyDescent="0.25">
      <c r="B77" s="2">
        <f>_xlfn.BINOM.DIST(A15,50,0.7,)</f>
        <v>1.5481699292179592E-10</v>
      </c>
      <c r="C77" s="2">
        <f>_xlfn.BINOM.DIST(A15,50,0.5,0)</f>
        <v>3.1517945462411457E-4</v>
      </c>
    </row>
    <row r="78" spans="2:3" x14ac:dyDescent="0.25">
      <c r="B78" s="2">
        <f>_xlfn.BINOM.DIST(A16,50,0.7,)</f>
        <v>9.5470478968440419E-10</v>
      </c>
      <c r="C78" s="2">
        <f>_xlfn.BINOM.DIST(A16,50,0.5,0)</f>
        <v>8.3297427293515961E-4</v>
      </c>
    </row>
    <row r="79" spans="2:3" x14ac:dyDescent="0.25">
      <c r="B79" s="2">
        <f>_xlfn.BINOM.DIST(A17,50,0.7,)</f>
        <v>5.3463468222326843E-9</v>
      </c>
      <c r="C79" s="2">
        <f>_xlfn.BINOM.DIST(A17,50,0.5,0)</f>
        <v>1.9991382550443907E-3</v>
      </c>
    </row>
    <row r="80" spans="2:3" x14ac:dyDescent="0.25">
      <c r="B80" s="2">
        <f>_xlfn.BINOM.DIST(A18,50,0.7,)</f>
        <v>2.7288645238479224E-8</v>
      </c>
      <c r="C80" s="2">
        <f>_xlfn.BINOM.DIST(A18,50,0.5,0)</f>
        <v>4.3731149329095925E-3</v>
      </c>
    </row>
    <row r="81" spans="2:3" x14ac:dyDescent="0.25">
      <c r="B81" s="2">
        <f>_xlfn.BINOM.DIST(A19,50,0.7,)</f>
        <v>1.273470111129034E-7</v>
      </c>
      <c r="C81" s="2">
        <f>_xlfn.BINOM.DIST(A19,50,0.5,0)</f>
        <v>8.7462298658191901E-3</v>
      </c>
    </row>
    <row r="82" spans="2:3" x14ac:dyDescent="0.25">
      <c r="B82" s="2">
        <f>_xlfn.BINOM.DIST(A20,50,0.7,)</f>
        <v>5.4476221420520083E-7</v>
      </c>
      <c r="C82" s="2">
        <f>_xlfn.BINOM.DIST(A20,50,0.5,0)</f>
        <v>1.6034754754001845E-2</v>
      </c>
    </row>
    <row r="83" spans="2:3" x14ac:dyDescent="0.25">
      <c r="B83" s="2">
        <f>_xlfn.BINOM.DIST(A21,50,0.7,)</f>
        <v>2.140819929508139E-6</v>
      </c>
      <c r="C83" s="2">
        <f>_xlfn.BINOM.DIST(A21,50,0.5,0)</f>
        <v>2.7005902743582024E-2</v>
      </c>
    </row>
    <row r="84" spans="2:3" x14ac:dyDescent="0.25">
      <c r="B84" s="2">
        <f>_xlfn.BINOM.DIST(A22,50,0.7,)</f>
        <v>7.7426320783878038E-6</v>
      </c>
      <c r="C84" s="2">
        <f>_xlfn.BINOM.DIST(A22,50,0.5,0)</f>
        <v>4.1859149252552186E-2</v>
      </c>
    </row>
    <row r="85" spans="2:3" x14ac:dyDescent="0.25">
      <c r="B85" s="2">
        <f>_xlfn.BINOM.DIST(A23,50,0.7,)</f>
        <v>2.5808773594625988E-5</v>
      </c>
      <c r="C85" s="2">
        <f>_xlfn.BINOM.DIST(A23,50,0.5,0)</f>
        <v>5.9798784646503088E-2</v>
      </c>
    </row>
    <row r="86" spans="2:3" x14ac:dyDescent="0.25">
      <c r="B86" s="2">
        <f>_xlfn.BINOM.DIST(A24,50,0.7,)</f>
        <v>7.9381530904682715E-5</v>
      </c>
      <c r="C86" s="2">
        <f>_xlfn.BINOM.DIST(A24,50,0.5,0)</f>
        <v>7.882567067039048E-2</v>
      </c>
    </row>
    <row r="87" spans="2:3" x14ac:dyDescent="0.25">
      <c r="B87" s="2">
        <f>_xlfn.BINOM.DIST(A25,50,0.7,)</f>
        <v>2.2548956604808424E-4</v>
      </c>
      <c r="C87" s="2">
        <f>_xlfn.BINOM.DIST(A25,50,0.5,0)</f>
        <v>9.5961686033518831E-2</v>
      </c>
    </row>
    <row r="88" spans="2:3" x14ac:dyDescent="0.25">
      <c r="B88" s="2">
        <f>_xlfn.BINOM.DIST(A26,50,0.7,)</f>
        <v>5.9191011087622093E-4</v>
      </c>
      <c r="C88" s="2">
        <f>_xlfn.BINOM.DIST(A26,50,0.5,0)</f>
        <v>0.10795689678770866</v>
      </c>
    </row>
    <row r="89" spans="2:3" x14ac:dyDescent="0.25">
      <c r="B89" s="2">
        <f>_xlfn.BINOM.DIST(A27,50,0.7,)</f>
        <v>1.4363685357262962E-3</v>
      </c>
      <c r="C89" s="2">
        <f>_xlfn.BINOM.DIST(A27,50,0.5,0)</f>
        <v>0.11227517265921706</v>
      </c>
    </row>
    <row r="90" spans="2:3" x14ac:dyDescent="0.25">
      <c r="B90" s="2">
        <f>_xlfn.BINOM.DIST(A28,50,0.7,)</f>
        <v>3.2226217147705376E-3</v>
      </c>
      <c r="C90" s="2">
        <f>_xlfn.BINOM.DIST(A28,50,0.5,0)</f>
        <v>0.10795689678770866</v>
      </c>
    </row>
    <row r="91" spans="2:3" x14ac:dyDescent="0.25">
      <c r="B91" s="2">
        <f>_xlfn.BINOM.DIST(A29,50,0.7,)</f>
        <v>6.6839561491536977E-3</v>
      </c>
      <c r="C91" s="2">
        <f>_xlfn.BINOM.DIST(A29,50,0.5,0)</f>
        <v>9.5961686033518831E-2</v>
      </c>
    </row>
    <row r="92" spans="2:3" x14ac:dyDescent="0.25">
      <c r="B92" s="2">
        <f>_xlfn.BINOM.DIST(A30,50,0.7,)</f>
        <v>1.2810915952544627E-2</v>
      </c>
      <c r="C92" s="2">
        <f>_xlfn.BINOM.DIST(A30,50,0.5,0)</f>
        <v>7.882567067039048E-2</v>
      </c>
    </row>
    <row r="93" spans="2:3" x14ac:dyDescent="0.25">
      <c r="B93" s="2">
        <f>_xlfn.BINOM.DIST(A31,50,0.7,)</f>
        <v>2.2676793755078951E-2</v>
      </c>
      <c r="C93" s="2">
        <f>_xlfn.BINOM.DIST(A31,50,0.5,0)</f>
        <v>5.9798784646503088E-2</v>
      </c>
    </row>
    <row r="94" spans="2:3" x14ac:dyDescent="0.25">
      <c r="B94" s="2">
        <f>_xlfn.BINOM.DIST(A32,50,0.7,)</f>
        <v>3.7038763133295585E-2</v>
      </c>
      <c r="C94" s="2">
        <f>_xlfn.BINOM.DIST(A32,50,0.5,0)</f>
        <v>4.1859149252552186E-2</v>
      </c>
    </row>
    <row r="95" spans="2:3" x14ac:dyDescent="0.25">
      <c r="B95" s="2">
        <f>_xlfn.BINOM.DIST(A33,50,0.7,)</f>
        <v>5.5757277835068654E-2</v>
      </c>
      <c r="C95" s="2">
        <f>_xlfn.BINOM.DIST(A33,50,0.5,0)</f>
        <v>2.7005902743582024E-2</v>
      </c>
    </row>
    <row r="96" spans="2:3" x14ac:dyDescent="0.25">
      <c r="B96" s="2">
        <f>_xlfn.BINOM.DIST(A34,50,0.7,)</f>
        <v>7.724706200066804E-2</v>
      </c>
      <c r="C96" s="2">
        <f>_xlfn.BINOM.DIST(A34,50,0.5,0)</f>
        <v>1.6034754754001845E-2</v>
      </c>
    </row>
    <row r="97" spans="2:3" x14ac:dyDescent="0.25">
      <c r="B97" s="2">
        <f>_xlfn.BINOM.DIST(A35,50,0.7,)</f>
        <v>9.8314442546304739E-2</v>
      </c>
      <c r="C97" s="2">
        <f>_xlfn.BINOM.DIST(A35,50,0.5,0)</f>
        <v>8.7462298658191901E-3</v>
      </c>
    </row>
    <row r="98" spans="2:3" x14ac:dyDescent="0.25">
      <c r="B98" s="2">
        <f>_xlfn.BINOM.DIST(A36,50,0.7,)</f>
        <v>0.11470018297068887</v>
      </c>
      <c r="C98" s="2">
        <f>_xlfn.BINOM.DIST(A36,50,0.5,0)</f>
        <v>4.3731149329095925E-3</v>
      </c>
    </row>
    <row r="99" spans="2:3" x14ac:dyDescent="0.25">
      <c r="B99" s="2">
        <f>_xlfn.BINOM.DIST(A37,50,0.7,)</f>
        <v>0.12234686183540144</v>
      </c>
      <c r="C99" s="2">
        <f>_xlfn.BINOM.DIST(A37,50,0.5,0)</f>
        <v>1.9991382550443907E-3</v>
      </c>
    </row>
    <row r="100" spans="2:3" x14ac:dyDescent="0.25">
      <c r="B100" s="2">
        <f>_xlfn.BINOM.DIST(A38,50,0.7,)</f>
        <v>0.11894833789552919</v>
      </c>
      <c r="C100" s="2">
        <f>_xlfn.BINOM.DIST(A38,50,0.5,0)</f>
        <v>8.3297427293516015E-4</v>
      </c>
    </row>
    <row r="101" spans="2:3" x14ac:dyDescent="0.25">
      <c r="B101" s="2">
        <f>_xlfn.BINOM.DIST(A39,50,0.7,)</f>
        <v>0.10501745147533205</v>
      </c>
      <c r="C101" s="2">
        <f>_xlfn.BINOM.DIST(A39,50,0.5,0)</f>
        <v>3.1517945462411457E-4</v>
      </c>
    </row>
    <row r="102" spans="2:3" x14ac:dyDescent="0.25">
      <c r="B102" s="2">
        <f>_xlfn.BINOM.DIST(A40,50,0.7,)</f>
        <v>8.3829720037326416E-2</v>
      </c>
      <c r="C102" s="2">
        <f>_xlfn.BINOM.DIST(A40,50,0.5,0)</f>
        <v>1.0782455026614464E-4</v>
      </c>
    </row>
    <row r="103" spans="2:3" x14ac:dyDescent="0.25">
      <c r="B103" s="2">
        <f>_xlfn.BINOM.DIST(A41,50,0.7,)</f>
        <v>6.0185440026798508E-2</v>
      </c>
      <c r="C103" s="2">
        <f>_xlfn.BINOM.DIST(A41,50,0.5,0)</f>
        <v>3.3176784697275137E-5</v>
      </c>
    </row>
    <row r="104" spans="2:3" x14ac:dyDescent="0.25">
      <c r="B104" s="2">
        <f>_xlfn.BINOM.DIST(A42,50,0.7,)</f>
        <v>3.8618990683862299E-2</v>
      </c>
      <c r="C104" s="2">
        <f>_xlfn.BINOM.DIST(A42,50,0.5,0)</f>
        <v>9.1236157917506673E-6</v>
      </c>
    </row>
    <row r="105" spans="2:3" x14ac:dyDescent="0.25">
      <c r="B105" s="2">
        <f>_xlfn.BINOM.DIST(A43,50,0.7,)</f>
        <v>2.1978287381059849E-2</v>
      </c>
      <c r="C105" s="2">
        <f>_xlfn.BINOM.DIST(A43,50,0.5,0)</f>
        <v>2.225272144329444E-6</v>
      </c>
    </row>
    <row r="106" spans="2:3" x14ac:dyDescent="0.25">
      <c r="B106" s="2">
        <f>_xlfn.BINOM.DIST(A44,50,0.7,)</f>
        <v>1.0989143690529942E-2</v>
      </c>
      <c r="C106" s="2">
        <f>_xlfn.BINOM.DIST(A44,50,0.5,0)</f>
        <v>4.7684403092773685E-7</v>
      </c>
    </row>
    <row r="107" spans="2:3" x14ac:dyDescent="0.25">
      <c r="B107" s="2">
        <f>_xlfn.BINOM.DIST(A45,50,0.7,)</f>
        <v>4.7704809819354649E-3</v>
      </c>
      <c r="C107" s="2">
        <f>_xlfn.BINOM.DIST(A45,50,0.5,0)</f>
        <v>8.8715168544695043E-8</v>
      </c>
    </row>
    <row r="108" spans="2:3" x14ac:dyDescent="0.25">
      <c r="B108" s="2">
        <f>_xlfn.BINOM.DIST(A46,50,0.7,)</f>
        <v>1.7708603645063509E-3</v>
      </c>
      <c r="C108" s="2">
        <f>_xlfn.BINOM.DIST(A46,50,0.5,0)</f>
        <v>1.411377681392873E-8</v>
      </c>
    </row>
    <row r="109" spans="2:3" x14ac:dyDescent="0.25">
      <c r="B109" s="2">
        <f>_xlfn.BINOM.DIST(A47,50,0.7,)</f>
        <v>5.5093433562419867E-4</v>
      </c>
      <c r="C109" s="2">
        <f>_xlfn.BINOM.DIST(A47,50,0.5,0)</f>
        <v>1.8818369085238295E-9</v>
      </c>
    </row>
    <row r="110" spans="2:3" x14ac:dyDescent="0.25">
      <c r="B110" s="2">
        <f>_xlfn.BINOM.DIST(A48,50,0.7,)</f>
        <v>1.3972972280323884E-4</v>
      </c>
      <c r="C110" s="2">
        <f>_xlfn.BINOM.DIST(A48,50,0.5,0)</f>
        <v>2.0454749005693866E-10</v>
      </c>
    </row>
    <row r="111" spans="2:3" x14ac:dyDescent="0.25">
      <c r="B111" s="2">
        <f>_xlfn.BINOM.DIST(A49,50,0.7,)</f>
        <v>2.7747746372274383E-5</v>
      </c>
      <c r="C111" s="2">
        <f>_xlfn.BINOM.DIST(A49,50,0.5,0)</f>
        <v>1.7408297026122522E-11</v>
      </c>
    </row>
    <row r="112" spans="2:3" x14ac:dyDescent="0.25">
      <c r="B112" s="2">
        <f>_xlfn.BINOM.DIST(A50,50,0.7,)</f>
        <v>4.0465463459566712E-6</v>
      </c>
      <c r="C112" s="2">
        <f>_xlfn.BINOM.DIST(A50,50,0.5,0)</f>
        <v>1.088018564132656E-12</v>
      </c>
    </row>
    <row r="113" spans="2:3" x14ac:dyDescent="0.25">
      <c r="B113" s="2">
        <f>_xlfn.BINOM.DIST(A51,50,0.7,)</f>
        <v>3.853853662815887E-7</v>
      </c>
      <c r="C113" s="2">
        <f>_xlfn.BINOM.DIST(A51,50,0.5,0)</f>
        <v>4.4408920985006533E-14</v>
      </c>
    </row>
    <row r="114" spans="2:3" x14ac:dyDescent="0.25">
      <c r="B114" s="2">
        <f>_xlfn.BINOM.DIST(A52,50,0.7,)</f>
        <v>1.7984650426474091E-8</v>
      </c>
      <c r="C114" s="2">
        <f>_xlfn.BINOM.DIST(A52,50,0.5,0)</f>
        <v>8.8817841970012444E-16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2021-11-22T16:08:55Z</dcterms:modified>
</cp:coreProperties>
</file>