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хадарарарарара\Desktop\3 семестр\тервер\ProbabilityTheory\Л5\"/>
    </mc:Choice>
  </mc:AlternateContent>
  <xr:revisionPtr revIDLastSave="0" documentId="13_ncr:1_{EF847904-3A78-4FE0-B171-1E02083C5F92}" xr6:coauthVersionLast="38" xr6:coauthVersionMax="38" xr10:uidLastSave="{00000000-0000-0000-0000-000000000000}"/>
  <bookViews>
    <workbookView xWindow="8370" yWindow="0" windowWidth="27375" windowHeight="12795" xr2:uid="{DE74E9D1-DABF-451E-96F7-255F5F11F281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H1" i="1"/>
  <c r="B3" i="1" s="1"/>
  <c r="A4" i="1"/>
  <c r="D4" i="1" s="1"/>
  <c r="A3" i="1"/>
  <c r="B4" i="1" l="1"/>
  <c r="A5" i="1"/>
  <c r="A6" i="1" s="1"/>
  <c r="A7" i="1" s="1"/>
  <c r="D6" i="1"/>
  <c r="C6" i="1"/>
  <c r="C3" i="1"/>
  <c r="B5" i="1"/>
  <c r="C5" i="1"/>
  <c r="C4" i="1"/>
  <c r="B6" i="1" l="1"/>
  <c r="D5" i="1"/>
  <c r="A8" i="1"/>
  <c r="B7" i="1"/>
  <c r="D7" i="1"/>
  <c r="C7" i="1"/>
  <c r="B8" i="1" l="1"/>
  <c r="D8" i="1"/>
  <c r="A9" i="1"/>
  <c r="C8" i="1"/>
  <c r="A10" i="1" l="1"/>
  <c r="B9" i="1"/>
  <c r="D9" i="1"/>
  <c r="C9" i="1"/>
  <c r="A11" i="1" l="1"/>
  <c r="B10" i="1"/>
  <c r="C10" i="1"/>
  <c r="D10" i="1"/>
  <c r="A12" i="1" l="1"/>
  <c r="B11" i="1"/>
  <c r="C11" i="1"/>
  <c r="D11" i="1"/>
  <c r="A13" i="1" l="1"/>
  <c r="D12" i="1"/>
  <c r="C12" i="1"/>
  <c r="B12" i="1"/>
  <c r="A14" i="1" l="1"/>
  <c r="D13" i="1"/>
  <c r="C13" i="1"/>
  <c r="B13" i="1"/>
  <c r="A15" i="1" l="1"/>
  <c r="B14" i="1"/>
  <c r="D14" i="1"/>
  <c r="C14" i="1"/>
  <c r="A16" i="1" l="1"/>
  <c r="B15" i="1"/>
  <c r="C15" i="1"/>
  <c r="D15" i="1"/>
  <c r="A17" i="1" l="1"/>
  <c r="D16" i="1"/>
  <c r="C16" i="1"/>
  <c r="B16" i="1"/>
  <c r="A18" i="1" l="1"/>
  <c r="D17" i="1"/>
  <c r="C17" i="1"/>
  <c r="B17" i="1"/>
  <c r="A19" i="1" l="1"/>
  <c r="D18" i="1"/>
  <c r="C18" i="1"/>
  <c r="B18" i="1"/>
  <c r="A20" i="1" l="1"/>
  <c r="D19" i="1"/>
  <c r="B19" i="1"/>
  <c r="C19" i="1"/>
  <c r="D20" i="1" l="1"/>
  <c r="C20" i="1"/>
  <c r="A21" i="1"/>
  <c r="B20" i="1"/>
  <c r="A22" i="1" l="1"/>
  <c r="D21" i="1"/>
  <c r="C21" i="1"/>
  <c r="B21" i="1"/>
  <c r="A23" i="1" l="1"/>
  <c r="B22" i="1"/>
  <c r="D22" i="1"/>
  <c r="C22" i="1"/>
  <c r="A24" i="1" l="1"/>
  <c r="B23" i="1"/>
  <c r="D23" i="1"/>
  <c r="C23" i="1"/>
  <c r="A25" i="1" l="1"/>
  <c r="B24" i="1"/>
  <c r="C24" i="1"/>
  <c r="D24" i="1"/>
  <c r="A26" i="1" l="1"/>
  <c r="B25" i="1"/>
  <c r="D25" i="1"/>
  <c r="C25" i="1"/>
  <c r="A27" i="1" l="1"/>
  <c r="D26" i="1"/>
  <c r="C26" i="1"/>
  <c r="B26" i="1"/>
  <c r="A28" i="1" l="1"/>
  <c r="B27" i="1"/>
  <c r="D27" i="1"/>
  <c r="C27" i="1"/>
  <c r="A29" i="1" l="1"/>
  <c r="D28" i="1"/>
  <c r="C28" i="1"/>
  <c r="B28" i="1"/>
  <c r="A30" i="1" l="1"/>
  <c r="C29" i="1"/>
  <c r="D29" i="1"/>
  <c r="B29" i="1"/>
  <c r="A31" i="1" l="1"/>
  <c r="B30" i="1"/>
  <c r="D30" i="1"/>
  <c r="C30" i="1"/>
  <c r="A32" i="1" l="1"/>
  <c r="B31" i="1"/>
  <c r="D31" i="1"/>
  <c r="C31" i="1"/>
  <c r="A33" i="1" l="1"/>
  <c r="C32" i="1"/>
  <c r="D32" i="1"/>
  <c r="B32" i="1"/>
  <c r="A34" i="1" l="1"/>
  <c r="B33" i="1"/>
  <c r="D33" i="1"/>
  <c r="C33" i="1"/>
  <c r="A35" i="1" l="1"/>
  <c r="B34" i="1"/>
  <c r="C34" i="1"/>
  <c r="D34" i="1"/>
  <c r="A36" i="1" l="1"/>
  <c r="B35" i="1"/>
  <c r="D35" i="1"/>
  <c r="C35" i="1"/>
  <c r="A37" i="1" l="1"/>
  <c r="D36" i="1"/>
  <c r="C36" i="1"/>
  <c r="B36" i="1"/>
  <c r="A38" i="1" l="1"/>
  <c r="D37" i="1"/>
  <c r="C37" i="1"/>
  <c r="B37" i="1"/>
  <c r="A39" i="1" l="1"/>
  <c r="B38" i="1"/>
  <c r="D38" i="1"/>
  <c r="C38" i="1"/>
  <c r="A40" i="1" l="1"/>
  <c r="B39" i="1"/>
  <c r="C39" i="1"/>
  <c r="D39" i="1"/>
  <c r="A41" i="1" l="1"/>
  <c r="B40" i="1"/>
  <c r="D40" i="1"/>
  <c r="C40" i="1"/>
  <c r="A42" i="1" l="1"/>
  <c r="D41" i="1"/>
  <c r="C41" i="1"/>
  <c r="B41" i="1"/>
  <c r="A43" i="1" l="1"/>
  <c r="C42" i="1"/>
  <c r="B42" i="1"/>
  <c r="D42" i="1"/>
  <c r="A44" i="1" l="1"/>
  <c r="B43" i="1"/>
  <c r="D43" i="1"/>
  <c r="C43" i="1"/>
  <c r="D44" i="1" l="1"/>
  <c r="C44" i="1"/>
  <c r="A45" i="1"/>
  <c r="B44" i="1"/>
  <c r="A46" i="1" l="1"/>
  <c r="C45" i="1"/>
  <c r="D45" i="1"/>
  <c r="B45" i="1"/>
  <c r="A47" i="1" l="1"/>
  <c r="B46" i="1"/>
  <c r="D46" i="1"/>
  <c r="C46" i="1"/>
  <c r="A48" i="1" l="1"/>
  <c r="B47" i="1"/>
  <c r="D47" i="1"/>
  <c r="C47" i="1"/>
  <c r="A49" i="1" l="1"/>
  <c r="D48" i="1"/>
  <c r="B48" i="1"/>
  <c r="C48" i="1"/>
  <c r="A50" i="1" l="1"/>
  <c r="B49" i="1"/>
  <c r="D49" i="1"/>
  <c r="C49" i="1"/>
  <c r="A51" i="1" l="1"/>
  <c r="D50" i="1"/>
  <c r="C50" i="1"/>
  <c r="B50" i="1"/>
  <c r="A52" i="1" l="1"/>
  <c r="D51" i="1"/>
  <c r="C51" i="1"/>
  <c r="B51" i="1"/>
  <c r="D52" i="1" l="1"/>
  <c r="C52" i="1"/>
  <c r="B52" i="1"/>
  <c r="A53" i="1"/>
  <c r="A54" i="1" l="1"/>
  <c r="D53" i="1"/>
  <c r="C53" i="1"/>
  <c r="B53" i="1"/>
  <c r="A55" i="1" l="1"/>
  <c r="B54" i="1"/>
  <c r="D54" i="1"/>
  <c r="C54" i="1"/>
  <c r="A56" i="1" l="1"/>
  <c r="B55" i="1"/>
  <c r="D55" i="1"/>
  <c r="C55" i="1"/>
  <c r="B56" i="1" l="1"/>
  <c r="D56" i="1"/>
  <c r="C56" i="1"/>
  <c r="A57" i="1"/>
  <c r="B57" i="1" l="1"/>
  <c r="D57" i="1"/>
  <c r="C57" i="1"/>
</calcChain>
</file>

<file path=xl/sharedStrings.xml><?xml version="1.0" encoding="utf-8"?>
<sst xmlns="http://schemas.openxmlformats.org/spreadsheetml/2006/main" count="9" uniqueCount="9">
  <si>
    <t>X</t>
  </si>
  <si>
    <t xml:space="preserve">m = </t>
  </si>
  <si>
    <t>N(11,5;0,5)</t>
  </si>
  <si>
    <t>N(11,5;1)</t>
  </si>
  <si>
    <t>N(11,5;2)</t>
  </si>
  <si>
    <t>v = 19</t>
  </si>
  <si>
    <t>σ1 = 0,5</t>
  </si>
  <si>
    <t>σ2 = 1</t>
  </si>
  <si>
    <t>σ3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</si>
</sst>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Плотность</a:t>
            </a:r>
            <a:r>
              <a:rPr lang="ru-RU" baseline="0"/>
              <a:t> распределения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N(11,5;0,5)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Лист1!$A$3:$A$57</c:f>
              <c:numCache>
                <c:formatCode>0.0</c:formatCode>
                <c:ptCount val="55"/>
                <c:pt idx="0">
                  <c:v>-12.5</c:v>
                </c:pt>
                <c:pt idx="1">
                  <c:v>-12</c:v>
                </c:pt>
                <c:pt idx="2">
                  <c:v>-11.5</c:v>
                </c:pt>
                <c:pt idx="3">
                  <c:v>-11</c:v>
                </c:pt>
                <c:pt idx="4">
                  <c:v>-10.5</c:v>
                </c:pt>
                <c:pt idx="5">
                  <c:v>-10</c:v>
                </c:pt>
                <c:pt idx="6">
                  <c:v>-9.5</c:v>
                </c:pt>
                <c:pt idx="7">
                  <c:v>-9</c:v>
                </c:pt>
                <c:pt idx="8">
                  <c:v>-8.5</c:v>
                </c:pt>
                <c:pt idx="9">
                  <c:v>-8</c:v>
                </c:pt>
                <c:pt idx="10">
                  <c:v>-7.5</c:v>
                </c:pt>
                <c:pt idx="11">
                  <c:v>-7</c:v>
                </c:pt>
                <c:pt idx="12">
                  <c:v>-6.5</c:v>
                </c:pt>
                <c:pt idx="13">
                  <c:v>-6</c:v>
                </c:pt>
                <c:pt idx="14">
                  <c:v>-5.5</c:v>
                </c:pt>
                <c:pt idx="15">
                  <c:v>-5</c:v>
                </c:pt>
                <c:pt idx="16">
                  <c:v>-4.5</c:v>
                </c:pt>
                <c:pt idx="17">
                  <c:v>-4</c:v>
                </c:pt>
                <c:pt idx="18">
                  <c:v>-3.5</c:v>
                </c:pt>
                <c:pt idx="19">
                  <c:v>-3</c:v>
                </c:pt>
                <c:pt idx="20">
                  <c:v>-2.5</c:v>
                </c:pt>
                <c:pt idx="21">
                  <c:v>-2</c:v>
                </c:pt>
                <c:pt idx="22">
                  <c:v>-1.5</c:v>
                </c:pt>
                <c:pt idx="23">
                  <c:v>-1</c:v>
                </c:pt>
                <c:pt idx="24">
                  <c:v>-0.5</c:v>
                </c:pt>
                <c:pt idx="25">
                  <c:v>0</c:v>
                </c:pt>
                <c:pt idx="26">
                  <c:v>0.5</c:v>
                </c:pt>
                <c:pt idx="27">
                  <c:v>1</c:v>
                </c:pt>
                <c:pt idx="28">
                  <c:v>1.5</c:v>
                </c:pt>
                <c:pt idx="29">
                  <c:v>2</c:v>
                </c:pt>
                <c:pt idx="30">
                  <c:v>2.5</c:v>
                </c:pt>
                <c:pt idx="31">
                  <c:v>3</c:v>
                </c:pt>
                <c:pt idx="32">
                  <c:v>3.5</c:v>
                </c:pt>
                <c:pt idx="33">
                  <c:v>4</c:v>
                </c:pt>
                <c:pt idx="34">
                  <c:v>4.5</c:v>
                </c:pt>
                <c:pt idx="35">
                  <c:v>5</c:v>
                </c:pt>
                <c:pt idx="36">
                  <c:v>5.5</c:v>
                </c:pt>
                <c:pt idx="37">
                  <c:v>6</c:v>
                </c:pt>
                <c:pt idx="38">
                  <c:v>6.5</c:v>
                </c:pt>
                <c:pt idx="39">
                  <c:v>7</c:v>
                </c:pt>
                <c:pt idx="40">
                  <c:v>7.5</c:v>
                </c:pt>
                <c:pt idx="41">
                  <c:v>8</c:v>
                </c:pt>
                <c:pt idx="42">
                  <c:v>8.5</c:v>
                </c:pt>
                <c:pt idx="43">
                  <c:v>9</c:v>
                </c:pt>
                <c:pt idx="44">
                  <c:v>9.5</c:v>
                </c:pt>
                <c:pt idx="45">
                  <c:v>10</c:v>
                </c:pt>
                <c:pt idx="46">
                  <c:v>10.5</c:v>
                </c:pt>
                <c:pt idx="47">
                  <c:v>11</c:v>
                </c:pt>
                <c:pt idx="48">
                  <c:v>11.5</c:v>
                </c:pt>
                <c:pt idx="49">
                  <c:v>12</c:v>
                </c:pt>
                <c:pt idx="50">
                  <c:v>12.5</c:v>
                </c:pt>
                <c:pt idx="51">
                  <c:v>13</c:v>
                </c:pt>
                <c:pt idx="52">
                  <c:v>13.5</c:v>
                </c:pt>
                <c:pt idx="53">
                  <c:v>14</c:v>
                </c:pt>
                <c:pt idx="54">
                  <c:v>14.5</c:v>
                </c:pt>
              </c:numCache>
            </c:numRef>
          </c:xVal>
          <c:yVal>
            <c:numRef>
              <c:f>Лист1!$B$3:$B$57</c:f>
              <c:numCache>
                <c:formatCode>0.000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4.2400131030492111E-298</c:v>
                </c:pt>
                <c:pt idx="12">
                  <c:v>3.0138094352407893E-282</c:v>
                </c:pt>
                <c:pt idx="13">
                  <c:v>7.8807925542720487E-267</c:v>
                </c:pt>
                <c:pt idx="14">
                  <c:v>7.5810528001857361E-252</c:v>
                </c:pt>
                <c:pt idx="15">
                  <c:v>2.6828393346988725E-237</c:v>
                </c:pt>
                <c:pt idx="16">
                  <c:v>3.4927325135175537E-223</c:v>
                </c:pt>
                <c:pt idx="17">
                  <c:v>1.6727903211712926E-209</c:v>
                </c:pt>
                <c:pt idx="18">
                  <c:v>2.9472922697570952E-196</c:v>
                </c:pt>
                <c:pt idx="19">
                  <c:v>1.9103389083897676E-183</c:v>
                </c:pt>
                <c:pt idx="20">
                  <c:v>4.5551549574733224E-171</c:v>
                </c:pt>
                <c:pt idx="21">
                  <c:v>3.9957785183365593E-159</c:v>
                </c:pt>
                <c:pt idx="22">
                  <c:v>1.2894519942795703E-147</c:v>
                </c:pt>
                <c:pt idx="23">
                  <c:v>1.5307859472838786E-136</c:v>
                </c:pt>
                <c:pt idx="24">
                  <c:v>6.6854288835889155E-126</c:v>
                </c:pt>
                <c:pt idx="25">
                  <c:v>1.0741120730041183E-115</c:v>
                </c:pt>
                <c:pt idx="26">
                  <c:v>6.3485631056505244E-106</c:v>
                </c:pt>
                <c:pt idx="27">
                  <c:v>1.3804058840254439E-96</c:v>
                </c:pt>
                <c:pt idx="28">
                  <c:v>1.1041896724319527E-87</c:v>
                </c:pt>
                <c:pt idx="29">
                  <c:v>3.2492720735472163E-79</c:v>
                </c:pt>
                <c:pt idx="30">
                  <c:v>3.5174990851902079E-71</c:v>
                </c:pt>
                <c:pt idx="31">
                  <c:v>1.4008364268637165E-63</c:v>
                </c:pt>
                <c:pt idx="32">
                  <c:v>2.0523261455838072E-56</c:v>
                </c:pt>
                <c:pt idx="33">
                  <c:v>1.1061419099688833E-49</c:v>
                </c:pt>
                <c:pt idx="34">
                  <c:v>2.1932131187779425E-43</c:v>
                </c:pt>
                <c:pt idx="35">
                  <c:v>1.5997655514013625E-37</c:v>
                </c:pt>
                <c:pt idx="36">
                  <c:v>4.2927674713261209E-32</c:v>
                </c:pt>
                <c:pt idx="37">
                  <c:v>4.2376385070187075E-27</c:v>
                </c:pt>
                <c:pt idx="38">
                  <c:v>1.538919725341284E-22</c:v>
                </c:pt>
                <c:pt idx="39">
                  <c:v>2.0559547143337833E-18</c:v>
                </c:pt>
                <c:pt idx="40">
                  <c:v>1.0104542167073785E-14</c:v>
                </c:pt>
                <c:pt idx="41">
                  <c:v>1.8269440816729187E-11</c:v>
                </c:pt>
                <c:pt idx="42">
                  <c:v>1.2151765699646572E-8</c:v>
                </c:pt>
                <c:pt idx="43">
                  <c:v>2.9734390294685954E-6</c:v>
                </c:pt>
                <c:pt idx="44">
                  <c:v>2.6766045152977074E-4</c:v>
                </c:pt>
                <c:pt idx="45">
                  <c:v>8.8636968238760151E-3</c:v>
                </c:pt>
                <c:pt idx="46">
                  <c:v>0.10798193302637613</c:v>
                </c:pt>
                <c:pt idx="47">
                  <c:v>0.48394144903828673</c:v>
                </c:pt>
                <c:pt idx="48">
                  <c:v>0.79788456080286541</c:v>
                </c:pt>
                <c:pt idx="49">
                  <c:v>0.48394144903828673</c:v>
                </c:pt>
                <c:pt idx="50">
                  <c:v>0.10798193302637613</c:v>
                </c:pt>
                <c:pt idx="51">
                  <c:v>8.8636968238760151E-3</c:v>
                </c:pt>
                <c:pt idx="52">
                  <c:v>2.6766045152977074E-4</c:v>
                </c:pt>
                <c:pt idx="53">
                  <c:v>2.9734390294685954E-6</c:v>
                </c:pt>
                <c:pt idx="54">
                  <c:v>1.2151765699646572E-8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1C-4848-84FE-A7CA7B13E1AF}"/>
            </c:ext>
          </c:extLst>
        </c:ser>
        <c:ser>
          <c:idx val="1"/>
          <c:order val="1"/>
          <c:tx>
            <c:v>N(11,5;1)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Лист1!$A$3:$A$57</c:f>
              <c:numCache>
                <c:formatCode>0.0</c:formatCode>
                <c:ptCount val="55"/>
                <c:pt idx="0">
                  <c:v>-12.5</c:v>
                </c:pt>
                <c:pt idx="1">
                  <c:v>-12</c:v>
                </c:pt>
                <c:pt idx="2">
                  <c:v>-11.5</c:v>
                </c:pt>
                <c:pt idx="3">
                  <c:v>-11</c:v>
                </c:pt>
                <c:pt idx="4">
                  <c:v>-10.5</c:v>
                </c:pt>
                <c:pt idx="5">
                  <c:v>-10</c:v>
                </c:pt>
                <c:pt idx="6">
                  <c:v>-9.5</c:v>
                </c:pt>
                <c:pt idx="7">
                  <c:v>-9</c:v>
                </c:pt>
                <c:pt idx="8">
                  <c:v>-8.5</c:v>
                </c:pt>
                <c:pt idx="9">
                  <c:v>-8</c:v>
                </c:pt>
                <c:pt idx="10">
                  <c:v>-7.5</c:v>
                </c:pt>
                <c:pt idx="11">
                  <c:v>-7</c:v>
                </c:pt>
                <c:pt idx="12">
                  <c:v>-6.5</c:v>
                </c:pt>
                <c:pt idx="13">
                  <c:v>-6</c:v>
                </c:pt>
                <c:pt idx="14">
                  <c:v>-5.5</c:v>
                </c:pt>
                <c:pt idx="15">
                  <c:v>-5</c:v>
                </c:pt>
                <c:pt idx="16">
                  <c:v>-4.5</c:v>
                </c:pt>
                <c:pt idx="17">
                  <c:v>-4</c:v>
                </c:pt>
                <c:pt idx="18">
                  <c:v>-3.5</c:v>
                </c:pt>
                <c:pt idx="19">
                  <c:v>-3</c:v>
                </c:pt>
                <c:pt idx="20">
                  <c:v>-2.5</c:v>
                </c:pt>
                <c:pt idx="21">
                  <c:v>-2</c:v>
                </c:pt>
                <c:pt idx="22">
                  <c:v>-1.5</c:v>
                </c:pt>
                <c:pt idx="23">
                  <c:v>-1</c:v>
                </c:pt>
                <c:pt idx="24">
                  <c:v>-0.5</c:v>
                </c:pt>
                <c:pt idx="25">
                  <c:v>0</c:v>
                </c:pt>
                <c:pt idx="26">
                  <c:v>0.5</c:v>
                </c:pt>
                <c:pt idx="27">
                  <c:v>1</c:v>
                </c:pt>
                <c:pt idx="28">
                  <c:v>1.5</c:v>
                </c:pt>
                <c:pt idx="29">
                  <c:v>2</c:v>
                </c:pt>
                <c:pt idx="30">
                  <c:v>2.5</c:v>
                </c:pt>
                <c:pt idx="31">
                  <c:v>3</c:v>
                </c:pt>
                <c:pt idx="32">
                  <c:v>3.5</c:v>
                </c:pt>
                <c:pt idx="33">
                  <c:v>4</c:v>
                </c:pt>
                <c:pt idx="34">
                  <c:v>4.5</c:v>
                </c:pt>
                <c:pt idx="35">
                  <c:v>5</c:v>
                </c:pt>
                <c:pt idx="36">
                  <c:v>5.5</c:v>
                </c:pt>
                <c:pt idx="37">
                  <c:v>6</c:v>
                </c:pt>
                <c:pt idx="38">
                  <c:v>6.5</c:v>
                </c:pt>
                <c:pt idx="39">
                  <c:v>7</c:v>
                </c:pt>
                <c:pt idx="40">
                  <c:v>7.5</c:v>
                </c:pt>
                <c:pt idx="41">
                  <c:v>8</c:v>
                </c:pt>
                <c:pt idx="42">
                  <c:v>8.5</c:v>
                </c:pt>
                <c:pt idx="43">
                  <c:v>9</c:v>
                </c:pt>
                <c:pt idx="44">
                  <c:v>9.5</c:v>
                </c:pt>
                <c:pt idx="45">
                  <c:v>10</c:v>
                </c:pt>
                <c:pt idx="46">
                  <c:v>10.5</c:v>
                </c:pt>
                <c:pt idx="47">
                  <c:v>11</c:v>
                </c:pt>
                <c:pt idx="48">
                  <c:v>11.5</c:v>
                </c:pt>
                <c:pt idx="49">
                  <c:v>12</c:v>
                </c:pt>
                <c:pt idx="50">
                  <c:v>12.5</c:v>
                </c:pt>
                <c:pt idx="51">
                  <c:v>13</c:v>
                </c:pt>
                <c:pt idx="52">
                  <c:v>13.5</c:v>
                </c:pt>
                <c:pt idx="53">
                  <c:v>14</c:v>
                </c:pt>
                <c:pt idx="54">
                  <c:v>14.5</c:v>
                </c:pt>
              </c:numCache>
            </c:numRef>
          </c:xVal>
          <c:yVal>
            <c:numRef>
              <c:f>Лист1!$C$3:$C$57</c:f>
              <c:numCache>
                <c:formatCode>0.000</c:formatCode>
                <c:ptCount val="55"/>
                <c:pt idx="0">
                  <c:v>3.3427144417944578E-126</c:v>
                </c:pt>
                <c:pt idx="1">
                  <c:v>4.8011607859068816E-121</c:v>
                </c:pt>
                <c:pt idx="2">
                  <c:v>5.3705603650205916E-116</c:v>
                </c:pt>
                <c:pt idx="3">
                  <c:v>4.678636817250047E-111</c:v>
                </c:pt>
                <c:pt idx="4">
                  <c:v>3.1742815528252622E-106</c:v>
                </c:pt>
                <c:pt idx="5">
                  <c:v>1.6772505228543918E-101</c:v>
                </c:pt>
                <c:pt idx="6">
                  <c:v>6.9020294201272195E-97</c:v>
                </c:pt>
                <c:pt idx="7">
                  <c:v>2.2119843802105703E-92</c:v>
                </c:pt>
                <c:pt idx="8">
                  <c:v>5.5209483621597635E-88</c:v>
                </c:pt>
                <c:pt idx="9">
                  <c:v>1.0731778340682652E-83</c:v>
                </c:pt>
                <c:pt idx="10">
                  <c:v>1.6246360367736081E-79</c:v>
                </c:pt>
                <c:pt idx="11">
                  <c:v>1.9154324916719355E-75</c:v>
                </c:pt>
                <c:pt idx="12">
                  <c:v>1.7587495425951039E-71</c:v>
                </c:pt>
                <c:pt idx="13">
                  <c:v>1.2576723828781936E-67</c:v>
                </c:pt>
                <c:pt idx="14">
                  <c:v>7.0041821343185826E-64</c:v>
                </c:pt>
                <c:pt idx="15">
                  <c:v>3.0379016987899232E-60</c:v>
                </c:pt>
                <c:pt idx="16">
                  <c:v>1.0261630727919036E-56</c:v>
                </c:pt>
                <c:pt idx="17">
                  <c:v>2.6995130245885877E-53</c:v>
                </c:pt>
                <c:pt idx="18">
                  <c:v>5.5307095498444164E-50</c:v>
                </c:pt>
                <c:pt idx="19">
                  <c:v>8.8247549745948248E-47</c:v>
                </c:pt>
                <c:pt idx="20">
                  <c:v>1.0966065593889713E-43</c:v>
                </c:pt>
                <c:pt idx="21">
                  <c:v>1.061268813915216E-40</c:v>
                </c:pt>
                <c:pt idx="22">
                  <c:v>7.9988277570068127E-38</c:v>
                </c:pt>
                <c:pt idx="23">
                  <c:v>4.6951953579751464E-35</c:v>
                </c:pt>
                <c:pt idx="24">
                  <c:v>2.1463837356630605E-32</c:v>
                </c:pt>
                <c:pt idx="25">
                  <c:v>7.6416554115872032E-30</c:v>
                </c:pt>
                <c:pt idx="26">
                  <c:v>2.1188192535093538E-27</c:v>
                </c:pt>
                <c:pt idx="27">
                  <c:v>4.5753755905208055E-25</c:v>
                </c:pt>
                <c:pt idx="28">
                  <c:v>7.6945986267064199E-23</c:v>
                </c:pt>
                <c:pt idx="29">
                  <c:v>1.007793539430001E-20</c:v>
                </c:pt>
                <c:pt idx="30">
                  <c:v>1.0279773571668917E-18</c:v>
                </c:pt>
                <c:pt idx="31">
                  <c:v>8.1662356316695502E-17</c:v>
                </c:pt>
                <c:pt idx="32">
                  <c:v>5.0522710835368927E-15</c:v>
                </c:pt>
                <c:pt idx="33">
                  <c:v>2.4343205330290096E-13</c:v>
                </c:pt>
                <c:pt idx="34">
                  <c:v>9.1347204083645936E-12</c:v>
                </c:pt>
                <c:pt idx="35">
                  <c:v>2.6695566147628519E-10</c:v>
                </c:pt>
                <c:pt idx="36">
                  <c:v>6.0758828498232861E-9</c:v>
                </c:pt>
                <c:pt idx="37">
                  <c:v>1.0769760042543276E-7</c:v>
                </c:pt>
                <c:pt idx="38">
                  <c:v>1.4867195147342977E-6</c:v>
                </c:pt>
                <c:pt idx="39">
                  <c:v>1.5983741106905475E-5</c:v>
                </c:pt>
                <c:pt idx="40">
                  <c:v>1.3383022576488537E-4</c:v>
                </c:pt>
                <c:pt idx="41">
                  <c:v>8.7268269504576015E-4</c:v>
                </c:pt>
                <c:pt idx="42">
                  <c:v>4.4318484119380075E-3</c:v>
                </c:pt>
                <c:pt idx="43">
                  <c:v>1.752830049356854E-2</c:v>
                </c:pt>
                <c:pt idx="44">
                  <c:v>5.3990966513188063E-2</c:v>
                </c:pt>
                <c:pt idx="45">
                  <c:v>0.12951759566589174</c:v>
                </c:pt>
                <c:pt idx="46">
                  <c:v>0.24197072451914337</c:v>
                </c:pt>
                <c:pt idx="47">
                  <c:v>0.35206532676429952</c:v>
                </c:pt>
                <c:pt idx="48">
                  <c:v>0.3989422804014327</c:v>
                </c:pt>
                <c:pt idx="49">
                  <c:v>0.35206532676429952</c:v>
                </c:pt>
                <c:pt idx="50">
                  <c:v>0.24197072451914337</c:v>
                </c:pt>
                <c:pt idx="51">
                  <c:v>0.12951759566589174</c:v>
                </c:pt>
                <c:pt idx="52">
                  <c:v>5.3990966513188063E-2</c:v>
                </c:pt>
                <c:pt idx="53">
                  <c:v>1.752830049356854E-2</c:v>
                </c:pt>
                <c:pt idx="54">
                  <c:v>4.4318484119380075E-3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1C-4848-84FE-A7CA7B13E1AF}"/>
            </c:ext>
          </c:extLst>
        </c:ser>
        <c:ser>
          <c:idx val="2"/>
          <c:order val="2"/>
          <c:tx>
            <c:v>N(11,5;2)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Лист1!$A$3:$A$57</c:f>
              <c:numCache>
                <c:formatCode>0.0</c:formatCode>
                <c:ptCount val="55"/>
                <c:pt idx="0">
                  <c:v>-12.5</c:v>
                </c:pt>
                <c:pt idx="1">
                  <c:v>-12</c:v>
                </c:pt>
                <c:pt idx="2">
                  <c:v>-11.5</c:v>
                </c:pt>
                <c:pt idx="3">
                  <c:v>-11</c:v>
                </c:pt>
                <c:pt idx="4">
                  <c:v>-10.5</c:v>
                </c:pt>
                <c:pt idx="5">
                  <c:v>-10</c:v>
                </c:pt>
                <c:pt idx="6">
                  <c:v>-9.5</c:v>
                </c:pt>
                <c:pt idx="7">
                  <c:v>-9</c:v>
                </c:pt>
                <c:pt idx="8">
                  <c:v>-8.5</c:v>
                </c:pt>
                <c:pt idx="9">
                  <c:v>-8</c:v>
                </c:pt>
                <c:pt idx="10">
                  <c:v>-7.5</c:v>
                </c:pt>
                <c:pt idx="11">
                  <c:v>-7</c:v>
                </c:pt>
                <c:pt idx="12">
                  <c:v>-6.5</c:v>
                </c:pt>
                <c:pt idx="13">
                  <c:v>-6</c:v>
                </c:pt>
                <c:pt idx="14">
                  <c:v>-5.5</c:v>
                </c:pt>
                <c:pt idx="15">
                  <c:v>-5</c:v>
                </c:pt>
                <c:pt idx="16">
                  <c:v>-4.5</c:v>
                </c:pt>
                <c:pt idx="17">
                  <c:v>-4</c:v>
                </c:pt>
                <c:pt idx="18">
                  <c:v>-3.5</c:v>
                </c:pt>
                <c:pt idx="19">
                  <c:v>-3</c:v>
                </c:pt>
                <c:pt idx="20">
                  <c:v>-2.5</c:v>
                </c:pt>
                <c:pt idx="21">
                  <c:v>-2</c:v>
                </c:pt>
                <c:pt idx="22">
                  <c:v>-1.5</c:v>
                </c:pt>
                <c:pt idx="23">
                  <c:v>-1</c:v>
                </c:pt>
                <c:pt idx="24">
                  <c:v>-0.5</c:v>
                </c:pt>
                <c:pt idx="25">
                  <c:v>0</c:v>
                </c:pt>
                <c:pt idx="26">
                  <c:v>0.5</c:v>
                </c:pt>
                <c:pt idx="27">
                  <c:v>1</c:v>
                </c:pt>
                <c:pt idx="28">
                  <c:v>1.5</c:v>
                </c:pt>
                <c:pt idx="29">
                  <c:v>2</c:v>
                </c:pt>
                <c:pt idx="30">
                  <c:v>2.5</c:v>
                </c:pt>
                <c:pt idx="31">
                  <c:v>3</c:v>
                </c:pt>
                <c:pt idx="32">
                  <c:v>3.5</c:v>
                </c:pt>
                <c:pt idx="33">
                  <c:v>4</c:v>
                </c:pt>
                <c:pt idx="34">
                  <c:v>4.5</c:v>
                </c:pt>
                <c:pt idx="35">
                  <c:v>5</c:v>
                </c:pt>
                <c:pt idx="36">
                  <c:v>5.5</c:v>
                </c:pt>
                <c:pt idx="37">
                  <c:v>6</c:v>
                </c:pt>
                <c:pt idx="38">
                  <c:v>6.5</c:v>
                </c:pt>
                <c:pt idx="39">
                  <c:v>7</c:v>
                </c:pt>
                <c:pt idx="40">
                  <c:v>7.5</c:v>
                </c:pt>
                <c:pt idx="41">
                  <c:v>8</c:v>
                </c:pt>
                <c:pt idx="42">
                  <c:v>8.5</c:v>
                </c:pt>
                <c:pt idx="43">
                  <c:v>9</c:v>
                </c:pt>
                <c:pt idx="44">
                  <c:v>9.5</c:v>
                </c:pt>
                <c:pt idx="45">
                  <c:v>10</c:v>
                </c:pt>
                <c:pt idx="46">
                  <c:v>10.5</c:v>
                </c:pt>
                <c:pt idx="47">
                  <c:v>11</c:v>
                </c:pt>
                <c:pt idx="48">
                  <c:v>11.5</c:v>
                </c:pt>
                <c:pt idx="49">
                  <c:v>12</c:v>
                </c:pt>
                <c:pt idx="50">
                  <c:v>12.5</c:v>
                </c:pt>
                <c:pt idx="51">
                  <c:v>13</c:v>
                </c:pt>
                <c:pt idx="52">
                  <c:v>13.5</c:v>
                </c:pt>
                <c:pt idx="53">
                  <c:v>14</c:v>
                </c:pt>
                <c:pt idx="54">
                  <c:v>14.5</c:v>
                </c:pt>
              </c:numCache>
            </c:numRef>
          </c:xVal>
          <c:yVal>
            <c:numRef>
              <c:f>Лист1!$D$3:$D$57</c:f>
              <c:numCache>
                <c:formatCode>0.000</c:formatCode>
                <c:ptCount val="55"/>
                <c:pt idx="0">
                  <c:v>1.0731918678315302E-32</c:v>
                </c:pt>
                <c:pt idx="1">
                  <c:v>2.0892437722713232E-31</c:v>
                </c:pt>
                <c:pt idx="2">
                  <c:v>3.8208277057936016E-30</c:v>
                </c:pt>
                <c:pt idx="3">
                  <c:v>6.5642088030770143E-29</c:v>
                </c:pt>
                <c:pt idx="4">
                  <c:v>1.0594096267546769E-27</c:v>
                </c:pt>
                <c:pt idx="5">
                  <c:v>1.6062089358107199E-26</c:v>
                </c:pt>
                <c:pt idx="6">
                  <c:v>2.2876877952604028E-25</c:v>
                </c:pt>
                <c:pt idx="7">
                  <c:v>3.060892432623561E-24</c:v>
                </c:pt>
                <c:pt idx="8">
                  <c:v>3.84729931335321E-23</c:v>
                </c:pt>
                <c:pt idx="9">
                  <c:v>4.5427671559883327E-22</c:v>
                </c:pt>
                <c:pt idx="10">
                  <c:v>5.0389676971500049E-21</c:v>
                </c:pt>
                <c:pt idx="11">
                  <c:v>5.2507249149851848E-20</c:v>
                </c:pt>
                <c:pt idx="12">
                  <c:v>5.1398867858344583E-19</c:v>
                </c:pt>
                <c:pt idx="13">
                  <c:v>4.7265519409514265E-18</c:v>
                </c:pt>
                <c:pt idx="14">
                  <c:v>4.0831178158347751E-17</c:v>
                </c:pt>
                <c:pt idx="15">
                  <c:v>3.3135687279843761E-16</c:v>
                </c:pt>
                <c:pt idx="16">
                  <c:v>2.5261355417684464E-15</c:v>
                </c:pt>
                <c:pt idx="17">
                  <c:v>1.8091472255562587E-14</c:v>
                </c:pt>
                <c:pt idx="18">
                  <c:v>1.2171602665145048E-13</c:v>
                </c:pt>
                <c:pt idx="19">
                  <c:v>7.6926897528063751E-13</c:v>
                </c:pt>
                <c:pt idx="20">
                  <c:v>4.5673602041822968E-12</c:v>
                </c:pt>
                <c:pt idx="21">
                  <c:v>2.5474689794218421E-11</c:v>
                </c:pt>
                <c:pt idx="22">
                  <c:v>1.334778307381426E-10</c:v>
                </c:pt>
                <c:pt idx="23">
                  <c:v>6.5700090907794201E-10</c:v>
                </c:pt>
                <c:pt idx="24">
                  <c:v>3.037941424911643E-9</c:v>
                </c:pt>
                <c:pt idx="25">
                  <c:v>1.3196216017852868E-8</c:v>
                </c:pt>
                <c:pt idx="26">
                  <c:v>5.384880021271638E-8</c:v>
                </c:pt>
                <c:pt idx="27">
                  <c:v>2.0642354943149992E-7</c:v>
                </c:pt>
                <c:pt idx="28">
                  <c:v>7.4335975736714884E-7</c:v>
                </c:pt>
                <c:pt idx="29">
                  <c:v>2.5147536442962227E-6</c:v>
                </c:pt>
                <c:pt idx="30">
                  <c:v>7.9918705534527373E-6</c:v>
                </c:pt>
                <c:pt idx="31">
                  <c:v>2.3859318270602476E-5</c:v>
                </c:pt>
                <c:pt idx="32">
                  <c:v>6.6915112882442684E-5</c:v>
                </c:pt>
                <c:pt idx="33">
                  <c:v>1.762978411837227E-4</c:v>
                </c:pt>
                <c:pt idx="34">
                  <c:v>4.3634134752288008E-4</c:v>
                </c:pt>
                <c:pt idx="35">
                  <c:v>1.0145240286498841E-3</c:v>
                </c:pt>
                <c:pt idx="36">
                  <c:v>2.2159242059690038E-3</c:v>
                </c:pt>
                <c:pt idx="37">
                  <c:v>4.5467812507955264E-3</c:v>
                </c:pt>
                <c:pt idx="38">
                  <c:v>8.7641502467842702E-3</c:v>
                </c:pt>
                <c:pt idx="39">
                  <c:v>1.5869825917833709E-2</c:v>
                </c:pt>
                <c:pt idx="40">
                  <c:v>2.6995483256594031E-2</c:v>
                </c:pt>
                <c:pt idx="41">
                  <c:v>4.3138659413255766E-2</c:v>
                </c:pt>
                <c:pt idx="42">
                  <c:v>6.4758797832945872E-2</c:v>
                </c:pt>
                <c:pt idx="43">
                  <c:v>9.1324542694510957E-2</c:v>
                </c:pt>
                <c:pt idx="44">
                  <c:v>0.12098536225957168</c:v>
                </c:pt>
                <c:pt idx="45">
                  <c:v>0.15056871607740221</c:v>
                </c:pt>
                <c:pt idx="46">
                  <c:v>0.17603266338214976</c:v>
                </c:pt>
                <c:pt idx="47">
                  <c:v>0.19333405840142462</c:v>
                </c:pt>
                <c:pt idx="48">
                  <c:v>0.19947114020071635</c:v>
                </c:pt>
                <c:pt idx="49">
                  <c:v>0.19333405840142462</c:v>
                </c:pt>
                <c:pt idx="50">
                  <c:v>0.17603266338214976</c:v>
                </c:pt>
                <c:pt idx="51">
                  <c:v>0.15056871607740221</c:v>
                </c:pt>
                <c:pt idx="52">
                  <c:v>0.12098536225957168</c:v>
                </c:pt>
                <c:pt idx="53">
                  <c:v>9.1324542694510957E-2</c:v>
                </c:pt>
                <c:pt idx="54">
                  <c:v>6.4758797832945872E-2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11C-4848-84FE-A7CA7B13E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420472"/>
        <c:axId val="416421784"/>
      </c:scatterChart>
      <c:valAx>
        <c:axId val="416420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6421784"/>
        <c:crosses val="autoZero"/>
        <c:crossBetween val="midCat"/>
      </c:valAx>
      <c:valAx>
        <c:axId val="416421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6420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290512</xdr:colOff>
      <xdr:row>17</xdr:row>
      <xdr:rowOff>142875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537C6F-001E-4A88-9042-8D6BDF91031D}"/>
            </a:ext>
          </a:extLst>
        </xdr:cNvPr>
        <xdr:cNvSpPr txBox="1"/>
      </xdr:nvSpPr>
      <xdr:spPr>
        <a:xfrm>
          <a:off x="8015287" y="3381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5</xdr:col>
      <xdr:colOff>585786</xdr:colOff>
      <xdr:row>6</xdr:row>
      <xdr:rowOff>57150</xdr:rowOff>
    </xdr:from>
    <xdr:to>
      <xdr:col>13</xdr:col>
      <xdr:colOff>304799</xdr:colOff>
      <xdr:row>28</xdr:row>
      <xdr:rowOff>66675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C1C929B-ACC5-425D-A1FC-BCFA6233F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6AC7-2490-46A9-AA04-D716A53CDBC8}">
  <dimension ref="A1:N57"/>
  <sheetViews>
    <sheetView tabSelected="1" workbookViewId="0">
      <selection activeCell="P22" sqref="P22"/>
    </sheetView>
  </sheetViews>
  <sheetFormatPr defaultRowHeight="15" x14ac:dyDescent="0.25"/>
  <cols>
    <col min="2" max="3" width="11.140625" customWidth="1"/>
    <col min="4" max="4" width="11.28515625" customWidth="1"/>
  </cols>
  <sheetData>
    <row r="1" spans="1:14" x14ac:dyDescent="0.25">
      <c r="B1" t="s">
        <v>6</v>
      </c>
      <c r="C1" t="s">
        <v>7</v>
      </c>
      <c r="D1" t="s">
        <v>8</v>
      </c>
      <c r="G1" t="s">
        <v>1</v>
      </c>
      <c r="H1">
        <f>2+19/2</f>
        <v>11.5</v>
      </c>
      <c r="N1" t="s">
        <v>5</v>
      </c>
    </row>
    <row r="2" spans="1:14" x14ac:dyDescent="0.25">
      <c r="A2" s="2" t="s">
        <v>0</v>
      </c>
      <c r="B2" t="s">
        <v>2</v>
      </c>
      <c r="C2" t="s">
        <v>3</v>
      </c>
      <c r="D2" t="s">
        <v>4</v>
      </c>
      <c r="G2">
        <v>0.5</v>
      </c>
      <c r="H2">
        <v>1</v>
      </c>
      <c r="I2">
        <v>2</v>
      </c>
    </row>
    <row r="3" spans="1:14" x14ac:dyDescent="0.25">
      <c r="A3" s="3">
        <f>(-3-19/2)</f>
        <v>-12.5</v>
      </c>
      <c r="B3" s="1">
        <f t="shared" ref="B3:B34" si="0">_xlfn.NORM.DIST(A3,$H$1,$G$2,0)</f>
        <v>0</v>
      </c>
      <c r="C3" s="1">
        <f t="shared" ref="C3:C34" si="1">_xlfn.NORM.DIST(A3,$H$1,$H$2,0)</f>
        <v>3.3427144417944578E-126</v>
      </c>
      <c r="D3" s="1">
        <f t="shared" ref="D3:D34" si="2">_xlfn.NORM.DIST(A3,$H$1,$I$2,0)</f>
        <v>1.0731918678315302E-32</v>
      </c>
    </row>
    <row r="4" spans="1:14" x14ac:dyDescent="0.25">
      <c r="A4" s="3">
        <f>A3+0.5*1</f>
        <v>-12</v>
      </c>
      <c r="B4" s="1">
        <f t="shared" si="0"/>
        <v>0</v>
      </c>
      <c r="C4" s="1">
        <f t="shared" si="1"/>
        <v>4.8011607859068816E-121</v>
      </c>
      <c r="D4" s="1">
        <f t="shared" si="2"/>
        <v>2.0892437722713232E-31</v>
      </c>
    </row>
    <row r="5" spans="1:14" x14ac:dyDescent="0.25">
      <c r="A5" s="3">
        <f t="shared" ref="A5:A57" si="3">A4+0.5*1</f>
        <v>-11.5</v>
      </c>
      <c r="B5" s="1">
        <f t="shared" si="0"/>
        <v>0</v>
      </c>
      <c r="C5" s="1">
        <f t="shared" si="1"/>
        <v>5.3705603650205916E-116</v>
      </c>
      <c r="D5" s="1">
        <f t="shared" si="2"/>
        <v>3.8208277057936016E-30</v>
      </c>
    </row>
    <row r="6" spans="1:14" x14ac:dyDescent="0.25">
      <c r="A6" s="3">
        <f t="shared" si="3"/>
        <v>-11</v>
      </c>
      <c r="B6" s="1">
        <f t="shared" si="0"/>
        <v>0</v>
      </c>
      <c r="C6" s="1">
        <f t="shared" si="1"/>
        <v>4.678636817250047E-111</v>
      </c>
      <c r="D6" s="1">
        <f t="shared" si="2"/>
        <v>6.5642088030770143E-29</v>
      </c>
    </row>
    <row r="7" spans="1:14" x14ac:dyDescent="0.25">
      <c r="A7" s="3">
        <f t="shared" si="3"/>
        <v>-10.5</v>
      </c>
      <c r="B7" s="1">
        <f t="shared" si="0"/>
        <v>0</v>
      </c>
      <c r="C7" s="1">
        <f t="shared" si="1"/>
        <v>3.1742815528252622E-106</v>
      </c>
      <c r="D7" s="1">
        <f t="shared" si="2"/>
        <v>1.0594096267546769E-27</v>
      </c>
    </row>
    <row r="8" spans="1:14" x14ac:dyDescent="0.25">
      <c r="A8" s="3">
        <f t="shared" si="3"/>
        <v>-10</v>
      </c>
      <c r="B8" s="1">
        <f t="shared" si="0"/>
        <v>0</v>
      </c>
      <c r="C8" s="1">
        <f t="shared" si="1"/>
        <v>1.6772505228543918E-101</v>
      </c>
      <c r="D8" s="1">
        <f t="shared" si="2"/>
        <v>1.6062089358107199E-26</v>
      </c>
    </row>
    <row r="9" spans="1:14" x14ac:dyDescent="0.25">
      <c r="A9" s="3">
        <f t="shared" si="3"/>
        <v>-9.5</v>
      </c>
      <c r="B9" s="1">
        <f t="shared" si="0"/>
        <v>0</v>
      </c>
      <c r="C9" s="1">
        <f t="shared" si="1"/>
        <v>6.9020294201272195E-97</v>
      </c>
      <c r="D9" s="1">
        <f t="shared" si="2"/>
        <v>2.2876877952604028E-25</v>
      </c>
    </row>
    <row r="10" spans="1:14" x14ac:dyDescent="0.25">
      <c r="A10" s="3">
        <f t="shared" si="3"/>
        <v>-9</v>
      </c>
      <c r="B10" s="1">
        <f t="shared" si="0"/>
        <v>0</v>
      </c>
      <c r="C10" s="1">
        <f t="shared" si="1"/>
        <v>2.2119843802105703E-92</v>
      </c>
      <c r="D10" s="1">
        <f t="shared" si="2"/>
        <v>3.060892432623561E-24</v>
      </c>
    </row>
    <row r="11" spans="1:14" x14ac:dyDescent="0.25">
      <c r="A11" s="3">
        <f t="shared" si="3"/>
        <v>-8.5</v>
      </c>
      <c r="B11" s="1">
        <f t="shared" si="0"/>
        <v>0</v>
      </c>
      <c r="C11" s="1">
        <f t="shared" si="1"/>
        <v>5.5209483621597635E-88</v>
      </c>
      <c r="D11" s="1">
        <f t="shared" si="2"/>
        <v>3.84729931335321E-23</v>
      </c>
    </row>
    <row r="12" spans="1:14" x14ac:dyDescent="0.25">
      <c r="A12" s="3">
        <f t="shared" si="3"/>
        <v>-8</v>
      </c>
      <c r="B12" s="1">
        <f t="shared" si="0"/>
        <v>0</v>
      </c>
      <c r="C12" s="1">
        <f t="shared" si="1"/>
        <v>1.0731778340682652E-83</v>
      </c>
      <c r="D12" s="1">
        <f t="shared" si="2"/>
        <v>4.5427671559883327E-22</v>
      </c>
    </row>
    <row r="13" spans="1:14" x14ac:dyDescent="0.25">
      <c r="A13" s="3">
        <f t="shared" si="3"/>
        <v>-7.5</v>
      </c>
      <c r="B13" s="1">
        <f t="shared" si="0"/>
        <v>0</v>
      </c>
      <c r="C13" s="1">
        <f t="shared" si="1"/>
        <v>1.6246360367736081E-79</v>
      </c>
      <c r="D13" s="1">
        <f t="shared" si="2"/>
        <v>5.0389676971500049E-21</v>
      </c>
    </row>
    <row r="14" spans="1:14" x14ac:dyDescent="0.25">
      <c r="A14" s="3">
        <f t="shared" si="3"/>
        <v>-7</v>
      </c>
      <c r="B14" s="1">
        <f t="shared" si="0"/>
        <v>4.2400131030492111E-298</v>
      </c>
      <c r="C14" s="1">
        <f t="shared" si="1"/>
        <v>1.9154324916719355E-75</v>
      </c>
      <c r="D14" s="1">
        <f t="shared" si="2"/>
        <v>5.2507249149851848E-20</v>
      </c>
    </row>
    <row r="15" spans="1:14" x14ac:dyDescent="0.25">
      <c r="A15" s="3">
        <f t="shared" si="3"/>
        <v>-6.5</v>
      </c>
      <c r="B15" s="1">
        <f t="shared" si="0"/>
        <v>3.0138094352407893E-282</v>
      </c>
      <c r="C15" s="1">
        <f t="shared" si="1"/>
        <v>1.7587495425951039E-71</v>
      </c>
      <c r="D15" s="1">
        <f t="shared" si="2"/>
        <v>5.1398867858344583E-19</v>
      </c>
    </row>
    <row r="16" spans="1:14" x14ac:dyDescent="0.25">
      <c r="A16" s="3">
        <f t="shared" si="3"/>
        <v>-6</v>
      </c>
      <c r="B16" s="1">
        <f t="shared" si="0"/>
        <v>7.8807925542720487E-267</v>
      </c>
      <c r="C16" s="1">
        <f t="shared" si="1"/>
        <v>1.2576723828781936E-67</v>
      </c>
      <c r="D16" s="1">
        <f t="shared" si="2"/>
        <v>4.7265519409514265E-18</v>
      </c>
    </row>
    <row r="17" spans="1:4" x14ac:dyDescent="0.25">
      <c r="A17" s="3">
        <f t="shared" si="3"/>
        <v>-5.5</v>
      </c>
      <c r="B17" s="1">
        <f t="shared" si="0"/>
        <v>7.5810528001857361E-252</v>
      </c>
      <c r="C17" s="1">
        <f t="shared" si="1"/>
        <v>7.0041821343185826E-64</v>
      </c>
      <c r="D17" s="1">
        <f t="shared" si="2"/>
        <v>4.0831178158347751E-17</v>
      </c>
    </row>
    <row r="18" spans="1:4" x14ac:dyDescent="0.25">
      <c r="A18" s="3">
        <f t="shared" si="3"/>
        <v>-5</v>
      </c>
      <c r="B18" s="1">
        <f t="shared" si="0"/>
        <v>2.6828393346988725E-237</v>
      </c>
      <c r="C18" s="1">
        <f t="shared" si="1"/>
        <v>3.0379016987899232E-60</v>
      </c>
      <c r="D18" s="1">
        <f t="shared" si="2"/>
        <v>3.3135687279843761E-16</v>
      </c>
    </row>
    <row r="19" spans="1:4" x14ac:dyDescent="0.25">
      <c r="A19" s="3">
        <f t="shared" si="3"/>
        <v>-4.5</v>
      </c>
      <c r="B19" s="1">
        <f t="shared" si="0"/>
        <v>3.4927325135175537E-223</v>
      </c>
      <c r="C19" s="1">
        <f t="shared" si="1"/>
        <v>1.0261630727919036E-56</v>
      </c>
      <c r="D19" s="1">
        <f t="shared" si="2"/>
        <v>2.5261355417684464E-15</v>
      </c>
    </row>
    <row r="20" spans="1:4" x14ac:dyDescent="0.25">
      <c r="A20" s="3">
        <f t="shared" si="3"/>
        <v>-4</v>
      </c>
      <c r="B20" s="1">
        <f t="shared" si="0"/>
        <v>1.6727903211712926E-209</v>
      </c>
      <c r="C20" s="1">
        <f t="shared" si="1"/>
        <v>2.6995130245885877E-53</v>
      </c>
      <c r="D20" s="1">
        <f t="shared" si="2"/>
        <v>1.8091472255562587E-14</v>
      </c>
    </row>
    <row r="21" spans="1:4" x14ac:dyDescent="0.25">
      <c r="A21" s="3">
        <f t="shared" si="3"/>
        <v>-3.5</v>
      </c>
      <c r="B21" s="1">
        <f t="shared" si="0"/>
        <v>2.9472922697570952E-196</v>
      </c>
      <c r="C21" s="1">
        <f t="shared" si="1"/>
        <v>5.5307095498444164E-50</v>
      </c>
      <c r="D21" s="1">
        <f t="shared" si="2"/>
        <v>1.2171602665145048E-13</v>
      </c>
    </row>
    <row r="22" spans="1:4" x14ac:dyDescent="0.25">
      <c r="A22" s="3">
        <f t="shared" si="3"/>
        <v>-3</v>
      </c>
      <c r="B22" s="1">
        <f t="shared" si="0"/>
        <v>1.9103389083897676E-183</v>
      </c>
      <c r="C22" s="1">
        <f t="shared" si="1"/>
        <v>8.8247549745948248E-47</v>
      </c>
      <c r="D22" s="1">
        <f t="shared" si="2"/>
        <v>7.6926897528063751E-13</v>
      </c>
    </row>
    <row r="23" spans="1:4" x14ac:dyDescent="0.25">
      <c r="A23" s="3">
        <f t="shared" si="3"/>
        <v>-2.5</v>
      </c>
      <c r="B23" s="1">
        <f t="shared" si="0"/>
        <v>4.5551549574733224E-171</v>
      </c>
      <c r="C23" s="1">
        <f t="shared" si="1"/>
        <v>1.0966065593889713E-43</v>
      </c>
      <c r="D23" s="1">
        <f t="shared" si="2"/>
        <v>4.5673602041822968E-12</v>
      </c>
    </row>
    <row r="24" spans="1:4" x14ac:dyDescent="0.25">
      <c r="A24" s="3">
        <f t="shared" si="3"/>
        <v>-2</v>
      </c>
      <c r="B24" s="1">
        <f t="shared" si="0"/>
        <v>3.9957785183365593E-159</v>
      </c>
      <c r="C24" s="1">
        <f t="shared" si="1"/>
        <v>1.061268813915216E-40</v>
      </c>
      <c r="D24" s="1">
        <f t="shared" si="2"/>
        <v>2.5474689794218421E-11</v>
      </c>
    </row>
    <row r="25" spans="1:4" x14ac:dyDescent="0.25">
      <c r="A25" s="3">
        <f t="shared" si="3"/>
        <v>-1.5</v>
      </c>
      <c r="B25" s="1">
        <f t="shared" si="0"/>
        <v>1.2894519942795703E-147</v>
      </c>
      <c r="C25" s="1">
        <f t="shared" si="1"/>
        <v>7.9988277570068127E-38</v>
      </c>
      <c r="D25" s="1">
        <f t="shared" si="2"/>
        <v>1.334778307381426E-10</v>
      </c>
    </row>
    <row r="26" spans="1:4" x14ac:dyDescent="0.25">
      <c r="A26" s="3">
        <f t="shared" si="3"/>
        <v>-1</v>
      </c>
      <c r="B26" s="1">
        <f t="shared" si="0"/>
        <v>1.5307859472838786E-136</v>
      </c>
      <c r="C26" s="1">
        <f t="shared" si="1"/>
        <v>4.6951953579751464E-35</v>
      </c>
      <c r="D26" s="1">
        <f t="shared" si="2"/>
        <v>6.5700090907794201E-10</v>
      </c>
    </row>
    <row r="27" spans="1:4" x14ac:dyDescent="0.25">
      <c r="A27" s="3">
        <f t="shared" si="3"/>
        <v>-0.5</v>
      </c>
      <c r="B27" s="1">
        <f t="shared" si="0"/>
        <v>6.6854288835889155E-126</v>
      </c>
      <c r="C27" s="1">
        <f t="shared" si="1"/>
        <v>2.1463837356630605E-32</v>
      </c>
      <c r="D27" s="1">
        <f t="shared" si="2"/>
        <v>3.037941424911643E-9</v>
      </c>
    </row>
    <row r="28" spans="1:4" x14ac:dyDescent="0.25">
      <c r="A28" s="3">
        <f t="shared" si="3"/>
        <v>0</v>
      </c>
      <c r="B28" s="1">
        <f t="shared" si="0"/>
        <v>1.0741120730041183E-115</v>
      </c>
      <c r="C28" s="1">
        <f t="shared" si="1"/>
        <v>7.6416554115872032E-30</v>
      </c>
      <c r="D28" s="1">
        <f t="shared" si="2"/>
        <v>1.3196216017852868E-8</v>
      </c>
    </row>
    <row r="29" spans="1:4" x14ac:dyDescent="0.25">
      <c r="A29" s="3">
        <f t="shared" si="3"/>
        <v>0.5</v>
      </c>
      <c r="B29" s="1">
        <f t="shared" si="0"/>
        <v>6.3485631056505244E-106</v>
      </c>
      <c r="C29" s="1">
        <f t="shared" si="1"/>
        <v>2.1188192535093538E-27</v>
      </c>
      <c r="D29" s="1">
        <f t="shared" si="2"/>
        <v>5.384880021271638E-8</v>
      </c>
    </row>
    <row r="30" spans="1:4" x14ac:dyDescent="0.25">
      <c r="A30" s="3">
        <f t="shared" si="3"/>
        <v>1</v>
      </c>
      <c r="B30" s="1">
        <f t="shared" si="0"/>
        <v>1.3804058840254439E-96</v>
      </c>
      <c r="C30" s="1">
        <f t="shared" si="1"/>
        <v>4.5753755905208055E-25</v>
      </c>
      <c r="D30" s="1">
        <f t="shared" si="2"/>
        <v>2.0642354943149992E-7</v>
      </c>
    </row>
    <row r="31" spans="1:4" x14ac:dyDescent="0.25">
      <c r="A31" s="3">
        <f t="shared" si="3"/>
        <v>1.5</v>
      </c>
      <c r="B31" s="1">
        <f t="shared" si="0"/>
        <v>1.1041896724319527E-87</v>
      </c>
      <c r="C31" s="1">
        <f t="shared" si="1"/>
        <v>7.6945986267064199E-23</v>
      </c>
      <c r="D31" s="1">
        <f t="shared" si="2"/>
        <v>7.4335975736714884E-7</v>
      </c>
    </row>
    <row r="32" spans="1:4" x14ac:dyDescent="0.25">
      <c r="A32" s="3">
        <f t="shared" si="3"/>
        <v>2</v>
      </c>
      <c r="B32" s="1">
        <f t="shared" si="0"/>
        <v>3.2492720735472163E-79</v>
      </c>
      <c r="C32" s="1">
        <f t="shared" si="1"/>
        <v>1.007793539430001E-20</v>
      </c>
      <c r="D32" s="1">
        <f t="shared" si="2"/>
        <v>2.5147536442962227E-6</v>
      </c>
    </row>
    <row r="33" spans="1:4" x14ac:dyDescent="0.25">
      <c r="A33" s="3">
        <f t="shared" si="3"/>
        <v>2.5</v>
      </c>
      <c r="B33" s="1">
        <f t="shared" si="0"/>
        <v>3.5174990851902079E-71</v>
      </c>
      <c r="C33" s="1">
        <f t="shared" si="1"/>
        <v>1.0279773571668917E-18</v>
      </c>
      <c r="D33" s="1">
        <f t="shared" si="2"/>
        <v>7.9918705534527373E-6</v>
      </c>
    </row>
    <row r="34" spans="1:4" x14ac:dyDescent="0.25">
      <c r="A34" s="3">
        <f t="shared" si="3"/>
        <v>3</v>
      </c>
      <c r="B34" s="1">
        <f t="shared" si="0"/>
        <v>1.4008364268637165E-63</v>
      </c>
      <c r="C34" s="1">
        <f t="shared" si="1"/>
        <v>8.1662356316695502E-17</v>
      </c>
      <c r="D34" s="1">
        <f t="shared" si="2"/>
        <v>2.3859318270602476E-5</v>
      </c>
    </row>
    <row r="35" spans="1:4" x14ac:dyDescent="0.25">
      <c r="A35" s="3">
        <f t="shared" si="3"/>
        <v>3.5</v>
      </c>
      <c r="B35" s="1">
        <f t="shared" ref="B35:B66" si="4">_xlfn.NORM.DIST(A35,$H$1,$G$2,0)</f>
        <v>2.0523261455838072E-56</v>
      </c>
      <c r="C35" s="1">
        <f t="shared" ref="C35:C57" si="5">_xlfn.NORM.DIST(A35,$H$1,$H$2,0)</f>
        <v>5.0522710835368927E-15</v>
      </c>
      <c r="D35" s="1">
        <f t="shared" ref="D35:D57" si="6">_xlfn.NORM.DIST(A35,$H$1,$I$2,0)</f>
        <v>6.6915112882442684E-5</v>
      </c>
    </row>
    <row r="36" spans="1:4" x14ac:dyDescent="0.25">
      <c r="A36" s="3">
        <f t="shared" si="3"/>
        <v>4</v>
      </c>
      <c r="B36" s="1">
        <f t="shared" si="4"/>
        <v>1.1061419099688833E-49</v>
      </c>
      <c r="C36" s="1">
        <f t="shared" si="5"/>
        <v>2.4343205330290096E-13</v>
      </c>
      <c r="D36" s="1">
        <f t="shared" si="6"/>
        <v>1.762978411837227E-4</v>
      </c>
    </row>
    <row r="37" spans="1:4" x14ac:dyDescent="0.25">
      <c r="A37" s="3">
        <f t="shared" si="3"/>
        <v>4.5</v>
      </c>
      <c r="B37" s="1">
        <f t="shared" si="4"/>
        <v>2.1932131187779425E-43</v>
      </c>
      <c r="C37" s="1">
        <f t="shared" si="5"/>
        <v>9.1347204083645936E-12</v>
      </c>
      <c r="D37" s="1">
        <f t="shared" si="6"/>
        <v>4.3634134752288008E-4</v>
      </c>
    </row>
    <row r="38" spans="1:4" x14ac:dyDescent="0.25">
      <c r="A38" s="3">
        <f t="shared" si="3"/>
        <v>5</v>
      </c>
      <c r="B38" s="1">
        <f t="shared" si="4"/>
        <v>1.5997655514013625E-37</v>
      </c>
      <c r="C38" s="1">
        <f t="shared" si="5"/>
        <v>2.6695566147628519E-10</v>
      </c>
      <c r="D38" s="1">
        <f t="shared" si="6"/>
        <v>1.0145240286498841E-3</v>
      </c>
    </row>
    <row r="39" spans="1:4" x14ac:dyDescent="0.25">
      <c r="A39" s="3">
        <f t="shared" si="3"/>
        <v>5.5</v>
      </c>
      <c r="B39" s="1">
        <f t="shared" si="4"/>
        <v>4.2927674713261209E-32</v>
      </c>
      <c r="C39" s="1">
        <f t="shared" si="5"/>
        <v>6.0758828498232861E-9</v>
      </c>
      <c r="D39" s="1">
        <f t="shared" si="6"/>
        <v>2.2159242059690038E-3</v>
      </c>
    </row>
    <row r="40" spans="1:4" x14ac:dyDescent="0.25">
      <c r="A40" s="3">
        <f t="shared" si="3"/>
        <v>6</v>
      </c>
      <c r="B40" s="1">
        <f t="shared" si="4"/>
        <v>4.2376385070187075E-27</v>
      </c>
      <c r="C40" s="1">
        <f t="shared" si="5"/>
        <v>1.0769760042543276E-7</v>
      </c>
      <c r="D40" s="1">
        <f t="shared" si="6"/>
        <v>4.5467812507955264E-3</v>
      </c>
    </row>
    <row r="41" spans="1:4" x14ac:dyDescent="0.25">
      <c r="A41" s="3">
        <f t="shared" si="3"/>
        <v>6.5</v>
      </c>
      <c r="B41" s="1">
        <f t="shared" si="4"/>
        <v>1.538919725341284E-22</v>
      </c>
      <c r="C41" s="1">
        <f t="shared" si="5"/>
        <v>1.4867195147342977E-6</v>
      </c>
      <c r="D41" s="1">
        <f t="shared" si="6"/>
        <v>8.7641502467842702E-3</v>
      </c>
    </row>
    <row r="42" spans="1:4" x14ac:dyDescent="0.25">
      <c r="A42" s="3">
        <f t="shared" si="3"/>
        <v>7</v>
      </c>
      <c r="B42" s="1">
        <f t="shared" si="4"/>
        <v>2.0559547143337833E-18</v>
      </c>
      <c r="C42" s="1">
        <f t="shared" si="5"/>
        <v>1.5983741106905475E-5</v>
      </c>
      <c r="D42" s="1">
        <f t="shared" si="6"/>
        <v>1.5869825917833709E-2</v>
      </c>
    </row>
    <row r="43" spans="1:4" x14ac:dyDescent="0.25">
      <c r="A43" s="3">
        <f t="shared" si="3"/>
        <v>7.5</v>
      </c>
      <c r="B43" s="1">
        <f t="shared" si="4"/>
        <v>1.0104542167073785E-14</v>
      </c>
      <c r="C43" s="1">
        <f t="shared" si="5"/>
        <v>1.3383022576488537E-4</v>
      </c>
      <c r="D43" s="1">
        <f t="shared" si="6"/>
        <v>2.6995483256594031E-2</v>
      </c>
    </row>
    <row r="44" spans="1:4" x14ac:dyDescent="0.25">
      <c r="A44" s="3">
        <f t="shared" si="3"/>
        <v>8</v>
      </c>
      <c r="B44" s="1">
        <f t="shared" si="4"/>
        <v>1.8269440816729187E-11</v>
      </c>
      <c r="C44" s="1">
        <f t="shared" si="5"/>
        <v>8.7268269504576015E-4</v>
      </c>
      <c r="D44" s="1">
        <f t="shared" si="6"/>
        <v>4.3138659413255766E-2</v>
      </c>
    </row>
    <row r="45" spans="1:4" x14ac:dyDescent="0.25">
      <c r="A45" s="3">
        <f t="shared" si="3"/>
        <v>8.5</v>
      </c>
      <c r="B45" s="1">
        <f t="shared" si="4"/>
        <v>1.2151765699646572E-8</v>
      </c>
      <c r="C45" s="1">
        <f t="shared" si="5"/>
        <v>4.4318484119380075E-3</v>
      </c>
      <c r="D45" s="1">
        <f t="shared" si="6"/>
        <v>6.4758797832945872E-2</v>
      </c>
    </row>
    <row r="46" spans="1:4" x14ac:dyDescent="0.25">
      <c r="A46" s="3">
        <f t="shared" si="3"/>
        <v>9</v>
      </c>
      <c r="B46" s="1">
        <f t="shared" si="4"/>
        <v>2.9734390294685954E-6</v>
      </c>
      <c r="C46" s="1">
        <f t="shared" si="5"/>
        <v>1.752830049356854E-2</v>
      </c>
      <c r="D46" s="1">
        <f t="shared" si="6"/>
        <v>9.1324542694510957E-2</v>
      </c>
    </row>
    <row r="47" spans="1:4" x14ac:dyDescent="0.25">
      <c r="A47" s="3">
        <f t="shared" si="3"/>
        <v>9.5</v>
      </c>
      <c r="B47" s="1">
        <f t="shared" si="4"/>
        <v>2.6766045152977074E-4</v>
      </c>
      <c r="C47" s="1">
        <f t="shared" si="5"/>
        <v>5.3990966513188063E-2</v>
      </c>
      <c r="D47" s="1">
        <f t="shared" si="6"/>
        <v>0.12098536225957168</v>
      </c>
    </row>
    <row r="48" spans="1:4" x14ac:dyDescent="0.25">
      <c r="A48" s="3">
        <f t="shared" si="3"/>
        <v>10</v>
      </c>
      <c r="B48" s="1">
        <f t="shared" si="4"/>
        <v>8.8636968238760151E-3</v>
      </c>
      <c r="C48" s="1">
        <f t="shared" si="5"/>
        <v>0.12951759566589174</v>
      </c>
      <c r="D48" s="1">
        <f t="shared" si="6"/>
        <v>0.15056871607740221</v>
      </c>
    </row>
    <row r="49" spans="1:4" x14ac:dyDescent="0.25">
      <c r="A49" s="3">
        <f t="shared" si="3"/>
        <v>10.5</v>
      </c>
      <c r="B49" s="1">
        <f t="shared" si="4"/>
        <v>0.10798193302637613</v>
      </c>
      <c r="C49" s="1">
        <f t="shared" si="5"/>
        <v>0.24197072451914337</v>
      </c>
      <c r="D49" s="1">
        <f t="shared" si="6"/>
        <v>0.17603266338214976</v>
      </c>
    </row>
    <row r="50" spans="1:4" x14ac:dyDescent="0.25">
      <c r="A50" s="3">
        <f t="shared" si="3"/>
        <v>11</v>
      </c>
      <c r="B50" s="1">
        <f t="shared" si="4"/>
        <v>0.48394144903828673</v>
      </c>
      <c r="C50" s="1">
        <f t="shared" si="5"/>
        <v>0.35206532676429952</v>
      </c>
      <c r="D50" s="1">
        <f t="shared" si="6"/>
        <v>0.19333405840142462</v>
      </c>
    </row>
    <row r="51" spans="1:4" x14ac:dyDescent="0.25">
      <c r="A51" s="3">
        <f t="shared" si="3"/>
        <v>11.5</v>
      </c>
      <c r="B51" s="1">
        <f t="shared" si="4"/>
        <v>0.79788456080286541</v>
      </c>
      <c r="C51" s="1">
        <f t="shared" si="5"/>
        <v>0.3989422804014327</v>
      </c>
      <c r="D51" s="1">
        <f t="shared" si="6"/>
        <v>0.19947114020071635</v>
      </c>
    </row>
    <row r="52" spans="1:4" x14ac:dyDescent="0.25">
      <c r="A52" s="3">
        <f t="shared" si="3"/>
        <v>12</v>
      </c>
      <c r="B52" s="1">
        <f t="shared" si="4"/>
        <v>0.48394144903828673</v>
      </c>
      <c r="C52" s="1">
        <f t="shared" si="5"/>
        <v>0.35206532676429952</v>
      </c>
      <c r="D52" s="1">
        <f t="shared" si="6"/>
        <v>0.19333405840142462</v>
      </c>
    </row>
    <row r="53" spans="1:4" x14ac:dyDescent="0.25">
      <c r="A53" s="3">
        <f t="shared" si="3"/>
        <v>12.5</v>
      </c>
      <c r="B53" s="1">
        <f t="shared" si="4"/>
        <v>0.10798193302637613</v>
      </c>
      <c r="C53" s="1">
        <f t="shared" si="5"/>
        <v>0.24197072451914337</v>
      </c>
      <c r="D53" s="1">
        <f t="shared" si="6"/>
        <v>0.17603266338214976</v>
      </c>
    </row>
    <row r="54" spans="1:4" x14ac:dyDescent="0.25">
      <c r="A54" s="3">
        <f t="shared" si="3"/>
        <v>13</v>
      </c>
      <c r="B54" s="1">
        <f t="shared" si="4"/>
        <v>8.8636968238760151E-3</v>
      </c>
      <c r="C54" s="1">
        <f t="shared" si="5"/>
        <v>0.12951759566589174</v>
      </c>
      <c r="D54" s="1">
        <f t="shared" si="6"/>
        <v>0.15056871607740221</v>
      </c>
    </row>
    <row r="55" spans="1:4" x14ac:dyDescent="0.25">
      <c r="A55" s="3">
        <f t="shared" si="3"/>
        <v>13.5</v>
      </c>
      <c r="B55" s="1">
        <f t="shared" si="4"/>
        <v>2.6766045152977074E-4</v>
      </c>
      <c r="C55" s="1">
        <f t="shared" si="5"/>
        <v>5.3990966513188063E-2</v>
      </c>
      <c r="D55" s="1">
        <f t="shared" si="6"/>
        <v>0.12098536225957168</v>
      </c>
    </row>
    <row r="56" spans="1:4" x14ac:dyDescent="0.25">
      <c r="A56" s="3">
        <f t="shared" si="3"/>
        <v>14</v>
      </c>
      <c r="B56" s="1">
        <f t="shared" si="4"/>
        <v>2.9734390294685954E-6</v>
      </c>
      <c r="C56" s="1">
        <f t="shared" si="5"/>
        <v>1.752830049356854E-2</v>
      </c>
      <c r="D56" s="1">
        <f t="shared" si="6"/>
        <v>9.1324542694510957E-2</v>
      </c>
    </row>
    <row r="57" spans="1:4" x14ac:dyDescent="0.25">
      <c r="A57" s="3">
        <f t="shared" si="3"/>
        <v>14.5</v>
      </c>
      <c r="B57" s="1">
        <f t="shared" si="4"/>
        <v>1.2151765699646572E-8</v>
      </c>
      <c r="C57" s="1">
        <f t="shared" si="5"/>
        <v>4.4318484119380075E-3</v>
      </c>
      <c r="D57" s="1">
        <f t="shared" si="6"/>
        <v>6.4758797832945872E-2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хадарарарарара</dc:creator>
  <cp:lastModifiedBy>хадарарарарара</cp:lastModifiedBy>
  <dcterms:created xsi:type="dcterms:W3CDTF">2021-11-19T08:44:26Z</dcterms:created>
  <dcterms:modified xsi:type="dcterms:W3CDTF">2021-12-03T10:51:51Z</dcterms:modified>
</cp:coreProperties>
</file>